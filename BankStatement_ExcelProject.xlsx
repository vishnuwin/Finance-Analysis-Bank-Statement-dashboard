
<file path=[Content_Types].xml><?xml version="1.0" encoding="utf-8"?>
<Types xmlns="http://schemas.openxmlformats.org/package/2006/content-types">
  <Default Extension="png" ContentType="image/png"/>
  <Default Extension="rels" ContentType="application/vnd.openxmlformats-package.relationships+xml"/>
  <Default Extension="xlsrvcdf"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hidePivotFieldList="1"/>
  <mc:AlternateContent xmlns:mc="http://schemas.openxmlformats.org/markup-compatibility/2006">
    <mc:Choice Requires="x15">
      <x15ac:absPath xmlns:x15ac="http://schemas.microsoft.com/office/spreadsheetml/2010/11/ac" url="https://d.docs.live.net/F0DB387CAE8C031A/Documents/"/>
    </mc:Choice>
  </mc:AlternateContent>
  <xr:revisionPtr revIDLastSave="0" documentId="8_{29A5721D-D0AD-4BD4-938E-9A06850151EB}" xr6:coauthVersionLast="47" xr6:coauthVersionMax="47" xr10:uidLastSave="{00000000-0000-0000-0000-000000000000}"/>
  <bookViews>
    <workbookView xWindow="-120" yWindow="-120" windowWidth="20730" windowHeight="11040" firstSheet="2" xr2:uid="{9CEB6D1A-3291-4DC9-A71B-864589AA64FC}"/>
  </bookViews>
  <sheets>
    <sheet name="Dashboard" sheetId="14" r:id="rId1"/>
    <sheet name="Bank Statement" sheetId="1" r:id="rId2"/>
    <sheet name="Category Table" sheetId="18" r:id="rId3"/>
    <sheet name="lookup" sheetId="3" r:id="rId4"/>
    <sheet name="pivot table" sheetId="20" r:id="rId5"/>
  </sheets>
  <definedNames>
    <definedName name="Slicer_Balance____1">#N/A</definedName>
    <definedName name="Slicer_Category">#N/A</definedName>
    <definedName name="Slicer_Month1">#N/A</definedName>
    <definedName name="Slicer_Pay_in____1">#N/A</definedName>
    <definedName name="Slicer_Withdraw_in____1">#N/A</definedName>
  </definedNames>
  <calcPr calcId="191028"/>
  <pivotCaches>
    <pivotCache cacheId="1542"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8" l="1"/>
  <c r="I8" i="18"/>
  <c r="I2" i="18"/>
  <c r="F7" i="3"/>
  <c r="F3" i="3"/>
  <c r="F2" i="3"/>
  <c r="I6" i="1"/>
  <c r="I7" i="1"/>
  <c r="E3" i="18"/>
  <c r="F4" i="3"/>
  <c r="E5" i="1"/>
  <c r="E6" i="1" s="1"/>
  <c r="E7" i="1" s="1"/>
  <c r="E4" i="18" l="1"/>
  <c r="E8" i="1"/>
  <c r="E9" i="1" s="1"/>
  <c r="E10" i="1" s="1"/>
  <c r="E11" i="1" s="1"/>
  <c r="E12" i="1" s="1"/>
  <c r="E13" i="1" s="1"/>
  <c r="E14" i="1" s="1"/>
  <c r="E15" i="1" s="1"/>
  <c r="E16" i="1" s="1"/>
  <c r="E17" i="1" s="1"/>
  <c r="E18" i="1" s="1"/>
  <c r="E19" i="1" s="1"/>
  <c r="E20" i="1" s="1"/>
  <c r="E21" i="1" s="1"/>
  <c r="E22" i="1" s="1"/>
  <c r="E23" i="1" s="1"/>
  <c r="E24" i="1" s="1"/>
  <c r="E25" i="1" s="1"/>
  <c r="E26" i="1" s="1"/>
  <c r="E27" i="1" s="1"/>
  <c r="E28" i="1" s="1"/>
  <c r="E29" i="1" s="1"/>
  <c r="E30" i="1" s="1"/>
  <c r="E31" i="1" s="1"/>
  <c r="E32" i="1" s="1"/>
  <c r="E33" i="1" s="1"/>
  <c r="E34" i="1" s="1"/>
  <c r="E35" i="1" s="1"/>
  <c r="E36" i="1" s="1"/>
  <c r="E37" i="1" s="1"/>
  <c r="E38" i="1" s="1"/>
  <c r="E39" i="1" s="1"/>
  <c r="E40" i="1" s="1"/>
  <c r="I8" i="1" s="1"/>
  <c r="E5" i="18" l="1"/>
  <c r="E41" i="1"/>
  <c r="E6" i="18" l="1"/>
  <c r="E7" i="18" l="1"/>
  <c r="E8" i="18" l="1"/>
  <c r="E9" i="18" l="1"/>
  <c r="E10" i="18" l="1"/>
  <c r="E11" i="18" l="1"/>
  <c r="E12" i="18" l="1"/>
  <c r="E13" i="18" l="1"/>
  <c r="E14" i="18" l="1"/>
  <c r="E15" i="18" l="1"/>
  <c r="E16" i="18" l="1"/>
  <c r="E17" i="18" l="1"/>
  <c r="E18" i="18" l="1"/>
  <c r="E19" i="18" l="1"/>
  <c r="E20" i="18" l="1"/>
  <c r="E21" i="18" l="1"/>
  <c r="E22" i="18" l="1"/>
  <c r="E23" i="18" l="1"/>
  <c r="E24" i="18" l="1"/>
  <c r="E25" i="18" l="1"/>
  <c r="E26" i="18" l="1"/>
  <c r="E27" i="18" l="1"/>
  <c r="E28" i="18" l="1"/>
  <c r="E29" i="18" l="1"/>
  <c r="E30" i="18" l="1"/>
  <c r="E31" i="18" l="1"/>
  <c r="E32" i="18" l="1"/>
  <c r="E33" i="18" l="1"/>
  <c r="E34" i="18" l="1"/>
  <c r="E35" i="18" l="1"/>
  <c r="E36" i="18" l="1"/>
  <c r="E37" i="18" l="1"/>
  <c r="E38" i="18" l="1"/>
  <c r="E39" i="18" l="1"/>
</calcChain>
</file>

<file path=xl/sharedStrings.xml><?xml version="1.0" encoding="utf-8"?>
<sst xmlns="http://schemas.openxmlformats.org/spreadsheetml/2006/main" count="293" uniqueCount="81">
  <si>
    <t>Account Statement (Jan-May)</t>
  </si>
  <si>
    <t>Detail</t>
  </si>
  <si>
    <t>Account Summary</t>
  </si>
  <si>
    <t>Date</t>
  </si>
  <si>
    <t>Descriptions</t>
  </si>
  <si>
    <t>Pay in (£)</t>
  </si>
  <si>
    <t>Withdraw in (£)</t>
  </si>
  <si>
    <t>Balance (£)</t>
  </si>
  <si>
    <t>From</t>
  </si>
  <si>
    <t>BROUGHT FORWARD</t>
  </si>
  <si>
    <t> </t>
  </si>
  <si>
    <t>To</t>
  </si>
  <si>
    <t xml:space="preserve">Automated Credit KAMAL </t>
  </si>
  <si>
    <t>Pre. Balance</t>
  </si>
  <si>
    <t>installment TV</t>
  </si>
  <si>
    <t>Pay in</t>
  </si>
  <si>
    <t>OnLine Transaction PRIYA MOBILE - PYMT</t>
  </si>
  <si>
    <t>Withdraw in</t>
  </si>
  <si>
    <t>Automated Credit MITESHKUMAR MANHAR WAGES</t>
  </si>
  <si>
    <t xml:space="preserve">Total Balance </t>
  </si>
  <si>
    <t>payment of mobile expense</t>
  </si>
  <si>
    <t>OnLine Transaction GOVINDA STORES LTD</t>
  </si>
  <si>
    <t xml:space="preserve">Card Transaction 27JUN25 SKY SUBSCRIPTION </t>
  </si>
  <si>
    <t>payment of washing machine</t>
  </si>
  <si>
    <t>Automated Credit BRITISH GAS</t>
  </si>
  <si>
    <t>OnLine Transaction SACHIN RENT</t>
  </si>
  <si>
    <t>Direct Debit EDF ENERGY</t>
  </si>
  <si>
    <t>Direct Debit BRITISH GAS</t>
  </si>
  <si>
    <t>Automated Credit MUCSI N RENT</t>
  </si>
  <si>
    <t>Direct Debit BANK</t>
  </si>
  <si>
    <t>Direct Debit ROYAL BOROUGH KING</t>
  </si>
  <si>
    <t>SAINSBURY'S</t>
  </si>
  <si>
    <t>Automated Credit VISHNU</t>
  </si>
  <si>
    <t>PRIMEMARK</t>
  </si>
  <si>
    <t>sainsbury's shopping</t>
  </si>
  <si>
    <t>Month</t>
  </si>
  <si>
    <t>Category</t>
  </si>
  <si>
    <t>month</t>
  </si>
  <si>
    <t>count of category</t>
  </si>
  <si>
    <t>Jan</t>
  </si>
  <si>
    <t>previous due</t>
  </si>
  <si>
    <t>May</t>
  </si>
  <si>
    <t>Gift</t>
  </si>
  <si>
    <t>Installment</t>
  </si>
  <si>
    <t>sum of category</t>
  </si>
  <si>
    <t>Mobile Expense</t>
  </si>
  <si>
    <t xml:space="preserve"> </t>
  </si>
  <si>
    <t>Salary</t>
  </si>
  <si>
    <t>Highlight Category</t>
  </si>
  <si>
    <t>sum of category by month</t>
  </si>
  <si>
    <t>Groceries</t>
  </si>
  <si>
    <t>Entertainment</t>
  </si>
  <si>
    <t>Appliances</t>
  </si>
  <si>
    <t>Feb</t>
  </si>
  <si>
    <t>Utilities</t>
  </si>
  <si>
    <t>Rent</t>
  </si>
  <si>
    <t>Mar</t>
  </si>
  <si>
    <t>Council Tax</t>
  </si>
  <si>
    <t>Shopping</t>
  </si>
  <si>
    <t>Apr</t>
  </si>
  <si>
    <t>Description Keywords</t>
  </si>
  <si>
    <t>vlookup</t>
  </si>
  <si>
    <t>KAMAL</t>
  </si>
  <si>
    <t>BRITISH GAS</t>
  </si>
  <si>
    <t>SACHIN RENT</t>
  </si>
  <si>
    <t>PRIYA MOBILE</t>
  </si>
  <si>
    <t>MITESHKUMAR MANHAR WAGES</t>
  </si>
  <si>
    <t>mobile expense</t>
  </si>
  <si>
    <t>xlookup</t>
  </si>
  <si>
    <t>GOVINDA STORES LTD</t>
  </si>
  <si>
    <t>SKY SUBSCRIPTION</t>
  </si>
  <si>
    <t>washing machine</t>
  </si>
  <si>
    <t>EDF ENERGY</t>
  </si>
  <si>
    <t>MUCSI N RENT</t>
  </si>
  <si>
    <t>BANK</t>
  </si>
  <si>
    <t>ROYAL BOROUGH KING</t>
  </si>
  <si>
    <t>VISHNU</t>
  </si>
  <si>
    <t>Count of Withdraw in (£)</t>
  </si>
  <si>
    <t>Sum of Balance (£)</t>
  </si>
  <si>
    <t>Count of Pay in (£)</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</si>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</sst>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m/d/yyyy;@"/>
  </numFmts>
  <fonts count="19">
    <font>
      <sz val="11"/>
      <color theme="1"/>
      <name val="Aptos Narrow"/>
      <family val="2"/>
      <scheme val="minor"/>
    </font>
    <font>
      <sz val="11"/>
      <color rgb="FF000000"/>
      <name val="Aptos Narrow"/>
      <family val="2"/>
    </font>
    <font>
      <b/>
      <sz val="11"/>
      <color rgb="FF000000"/>
      <name val="Aptos Narrow"/>
      <family val="2"/>
    </font>
    <font>
      <b/>
      <sz val="12"/>
      <color theme="0"/>
      <name val="Aptos Narrow"/>
      <family val="2"/>
      <scheme val="minor"/>
    </font>
    <font>
      <sz val="11"/>
      <color rgb="FF000000"/>
      <name val="Arial"/>
      <family val="2"/>
    </font>
    <font>
      <b/>
      <sz val="16"/>
      <color rgb="FF002060"/>
      <name val="Aptos Narrow"/>
      <family val="2"/>
      <scheme val="minor"/>
    </font>
    <font>
      <sz val="11"/>
      <color rgb="FF000000"/>
      <name val="Arial"/>
      <family val="2"/>
      <charset val="1"/>
    </font>
    <font>
      <b/>
      <sz val="16"/>
      <color theme="0"/>
      <name val="Aptos Narrow"/>
      <family val="2"/>
      <scheme val="minor"/>
    </font>
    <font>
      <sz val="11"/>
      <color rgb="FF000000"/>
      <name val="Aptos Narrow"/>
      <charset val="1"/>
    </font>
    <font>
      <sz val="16"/>
      <color theme="1"/>
      <name val="Aptos Narrow"/>
      <family val="2"/>
      <scheme val="minor"/>
    </font>
    <font>
      <sz val="16"/>
      <color rgb="FF000000"/>
      <name val="Aptos Narrow"/>
      <family val="2"/>
    </font>
    <font>
      <b/>
      <sz val="16"/>
      <color theme="1"/>
      <name val="Aptos Narrow"/>
      <family val="2"/>
      <scheme val="minor"/>
    </font>
    <font>
      <sz val="11"/>
      <color rgb="FF000000"/>
      <name val="Aptos Narrow"/>
    </font>
    <font>
      <b/>
      <sz val="14"/>
      <color rgb="FFFF0000"/>
      <name val="Arial"/>
      <family val="2"/>
    </font>
    <font>
      <b/>
      <sz val="18"/>
      <color theme="0"/>
      <name val="Aptos Narrow"/>
      <family val="2"/>
    </font>
    <font>
      <b/>
      <sz val="14"/>
      <color theme="0"/>
      <name val="Aptos Narrow"/>
      <family val="2"/>
    </font>
    <font>
      <b/>
      <sz val="12"/>
      <color rgb="FFFF0000"/>
      <name val="Aptos Narrow"/>
      <family val="2"/>
    </font>
    <font>
      <b/>
      <sz val="12"/>
      <color rgb="FFFF0000"/>
      <name val="Aptos Narrow"/>
    </font>
    <font>
      <sz val="11"/>
      <color rgb="FF242424"/>
      <name val="Aptos Narrow"/>
      <charset val="1"/>
    </font>
  </fonts>
  <fills count="8">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9">
    <xf numFmtId="0" fontId="0" fillId="0" borderId="0" xfId="0"/>
    <xf numFmtId="0" fontId="1" fillId="0" borderId="0" xfId="0" applyFont="1"/>
    <xf numFmtId="0" fontId="0" fillId="3" borderId="0" xfId="0" applyFill="1"/>
    <xf numFmtId="0" fontId="0" fillId="3" borderId="0" xfId="0" applyFill="1" applyAlignment="1">
      <alignment horizontal="center"/>
    </xf>
    <xf numFmtId="0" fontId="2" fillId="3" borderId="0" xfId="0" applyFont="1" applyFill="1" applyAlignment="1">
      <alignment horizontal="center"/>
    </xf>
    <xf numFmtId="2" fontId="0" fillId="3" borderId="0" xfId="0" applyNumberFormat="1" applyFill="1"/>
    <xf numFmtId="0" fontId="0" fillId="3" borderId="2" xfId="0" applyFill="1" applyBorder="1"/>
    <xf numFmtId="0" fontId="1" fillId="3" borderId="2" xfId="0" applyFont="1" applyFill="1" applyBorder="1"/>
    <xf numFmtId="0" fontId="1" fillId="0" borderId="2" xfId="0" applyFont="1" applyBorder="1"/>
    <xf numFmtId="0" fontId="0" fillId="0" borderId="3" xfId="0" applyBorder="1"/>
    <xf numFmtId="0" fontId="4" fillId="0" borderId="3" xfId="0" applyFont="1" applyBorder="1" applyAlignment="1">
      <alignment readingOrder="1"/>
    </xf>
    <xf numFmtId="0" fontId="1" fillId="0" borderId="6" xfId="0" applyFont="1" applyBorder="1"/>
    <xf numFmtId="0" fontId="4" fillId="0" borderId="7" xfId="0" applyFont="1" applyBorder="1" applyAlignment="1">
      <alignment readingOrder="1"/>
    </xf>
    <xf numFmtId="0" fontId="4" fillId="0" borderId="0" xfId="0" applyFont="1"/>
    <xf numFmtId="0" fontId="6" fillId="0" borderId="7" xfId="0" applyFont="1" applyBorder="1" applyAlignment="1">
      <alignment readingOrder="1"/>
    </xf>
    <xf numFmtId="0" fontId="0" fillId="0" borderId="0" xfId="0" pivotButton="1"/>
    <xf numFmtId="0" fontId="9" fillId="4" borderId="0" xfId="0" applyFont="1" applyFill="1"/>
    <xf numFmtId="0" fontId="3" fillId="0" borderId="0" xfId="0" applyFont="1" applyAlignment="1">
      <alignment horizontal="center"/>
    </xf>
    <xf numFmtId="2" fontId="9" fillId="4" borderId="0" xfId="0" applyNumberFormat="1" applyFont="1" applyFill="1"/>
    <xf numFmtId="14" fontId="10" fillId="4" borderId="0" xfId="0" applyNumberFormat="1" applyFont="1" applyFill="1"/>
    <xf numFmtId="0" fontId="10" fillId="4" borderId="0" xfId="0" applyFont="1" applyFill="1"/>
    <xf numFmtId="2" fontId="0" fillId="0" borderId="0" xfId="0" applyNumberFormat="1"/>
    <xf numFmtId="0" fontId="4" fillId="0" borderId="0" xfId="0" applyFont="1" applyAlignment="1">
      <alignment readingOrder="1"/>
    </xf>
    <xf numFmtId="0" fontId="13" fillId="2" borderId="4" xfId="0" applyFont="1" applyFill="1" applyBorder="1" applyAlignment="1">
      <alignment readingOrder="1"/>
    </xf>
    <xf numFmtId="0" fontId="13" fillId="2" borderId="5" xfId="0" applyFont="1" applyFill="1" applyBorder="1" applyAlignment="1">
      <alignment readingOrder="1"/>
    </xf>
    <xf numFmtId="164" fontId="2" fillId="4" borderId="0" xfId="0" applyNumberFormat="1" applyFont="1" applyFill="1" applyAlignment="1">
      <alignment horizontal="center"/>
    </xf>
    <xf numFmtId="0" fontId="2" fillId="4" borderId="0" xfId="0" applyFont="1" applyFill="1" applyAlignment="1">
      <alignment horizontal="center"/>
    </xf>
    <xf numFmtId="164" fontId="1" fillId="3" borderId="0" xfId="0" applyNumberFormat="1" applyFont="1" applyFill="1"/>
    <xf numFmtId="0" fontId="1" fillId="3" borderId="0" xfId="0" applyFont="1" applyFill="1"/>
    <xf numFmtId="2" fontId="1" fillId="0" borderId="0" xfId="0" applyNumberFormat="1" applyFont="1"/>
    <xf numFmtId="2" fontId="1" fillId="3" borderId="0" xfId="0" applyNumberFormat="1" applyFont="1" applyFill="1"/>
    <xf numFmtId="164" fontId="0" fillId="3" borderId="0" xfId="0" applyNumberFormat="1" applyFill="1"/>
    <xf numFmtId="0" fontId="0" fillId="0" borderId="0" xfId="0" applyBorder="1"/>
    <xf numFmtId="0" fontId="4" fillId="0" borderId="0" xfId="0" applyFont="1" applyBorder="1" applyAlignment="1">
      <alignment readingOrder="1"/>
    </xf>
    <xf numFmtId="0" fontId="4" fillId="0" borderId="0" xfId="0" applyFont="1" applyBorder="1"/>
    <xf numFmtId="0" fontId="0" fillId="0" borderId="0" xfId="0" applyBorder="1" applyAlignment="1">
      <alignment wrapText="1"/>
    </xf>
    <xf numFmtId="0" fontId="0" fillId="0" borderId="0" xfId="0" applyAlignment="1">
      <alignment wrapText="1"/>
    </xf>
    <xf numFmtId="0" fontId="4" fillId="0" borderId="0" xfId="0" applyFont="1" applyBorder="1" applyAlignment="1">
      <alignment wrapText="1" readingOrder="1"/>
    </xf>
    <xf numFmtId="0" fontId="18" fillId="0" borderId="0" xfId="0" applyFont="1"/>
    <xf numFmtId="0" fontId="17" fillId="0" borderId="0" xfId="0" applyFont="1" applyFill="1" applyBorder="1" applyAlignment="1">
      <alignment horizontal="center"/>
    </xf>
    <xf numFmtId="0" fontId="5" fillId="0" borderId="0" xfId="0" applyFont="1" applyFill="1" applyAlignment="1">
      <alignment horizontal="center"/>
    </xf>
    <xf numFmtId="0" fontId="5" fillId="5" borderId="0" xfId="0" applyFont="1" applyFill="1" applyAlignment="1">
      <alignment horizontal="center" wrapText="1"/>
    </xf>
    <xf numFmtId="0" fontId="16" fillId="7" borderId="8" xfId="0" applyFont="1" applyFill="1" applyBorder="1" applyAlignment="1">
      <alignment horizontal="center" vertical="center"/>
    </xf>
    <xf numFmtId="0" fontId="17" fillId="7" borderId="8" xfId="0" applyFont="1" applyFill="1" applyBorder="1" applyAlignment="1">
      <alignment horizontal="center"/>
    </xf>
    <xf numFmtId="0" fontId="0" fillId="0" borderId="8" xfId="0" applyBorder="1"/>
    <xf numFmtId="2" fontId="12" fillId="0" borderId="8" xfId="0" applyNumberFormat="1" applyFont="1" applyFill="1" applyBorder="1"/>
    <xf numFmtId="0" fontId="0" fillId="0" borderId="8" xfId="0" applyFill="1" applyBorder="1"/>
    <xf numFmtId="2" fontId="12" fillId="3" borderId="8" xfId="0" applyNumberFormat="1" applyFont="1" applyFill="1" applyBorder="1"/>
    <xf numFmtId="165" fontId="0" fillId="0" borderId="8" xfId="0" applyNumberFormat="1" applyBorder="1"/>
    <xf numFmtId="0" fontId="8" fillId="0" borderId="8" xfId="0" applyFont="1" applyBorder="1"/>
    <xf numFmtId="0" fontId="4" fillId="0" borderId="8" xfId="0" applyFont="1" applyBorder="1" applyAlignment="1">
      <alignment readingOrder="1"/>
    </xf>
    <xf numFmtId="0" fontId="4" fillId="0" borderId="8" xfId="0" applyFont="1" applyBorder="1"/>
    <xf numFmtId="0" fontId="12" fillId="0" borderId="8" xfId="0" applyFont="1" applyFill="1" applyBorder="1"/>
    <xf numFmtId="0" fontId="5" fillId="5" borderId="0" xfId="0" applyFont="1" applyFill="1" applyAlignment="1">
      <alignment horizontal="center"/>
    </xf>
    <xf numFmtId="0" fontId="11" fillId="4" borderId="0" xfId="0" applyFont="1" applyFill="1" applyAlignment="1"/>
    <xf numFmtId="0" fontId="7" fillId="6" borderId="0" xfId="0" applyFont="1" applyFill="1" applyAlignment="1">
      <alignment horizontal="center"/>
    </xf>
    <xf numFmtId="0" fontId="14" fillId="6" borderId="1" xfId="0" applyFont="1" applyFill="1" applyBorder="1" applyAlignment="1">
      <alignment horizontal="center"/>
    </xf>
    <xf numFmtId="0" fontId="15" fillId="6" borderId="1" xfId="0" applyFont="1" applyFill="1" applyBorder="1" applyAlignment="1">
      <alignment horizontal="center"/>
    </xf>
    <xf numFmtId="0" fontId="5" fillId="5" borderId="0" xfId="0" applyFont="1" applyFill="1" applyAlignment="1">
      <alignment horizontal="center"/>
    </xf>
  </cellXfs>
  <cellStyles count="1">
    <cellStyle name="Normal" xfId="0" builtinId="0"/>
  </cellStyles>
  <dxfs count="14">
    <dxf>
      <font>
        <b val="0"/>
        <i val="0"/>
        <strike val="0"/>
        <condense val="0"/>
        <extend val="0"/>
        <outline val="0"/>
        <shadow val="0"/>
        <u val="none"/>
        <vertAlign val="baseline"/>
        <sz val="11"/>
        <color rgb="FF000000"/>
        <name val="Arial"/>
        <family val="2"/>
        <charset val="1"/>
        <scheme val="none"/>
      </font>
      <alignment horizontal="general" vertical="bottom" textRotation="0" wrapText="0" indent="0" justifyLastLine="0" shrinkToFit="0" readingOrder="1"/>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charset val="1"/>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4"/>
        <color rgb="FFFF0000"/>
        <name val="Arial"/>
        <family val="2"/>
        <charset val="1"/>
        <scheme val="none"/>
      </font>
      <fill>
        <patternFill patternType="solid">
          <fgColor indexed="64"/>
          <bgColor theme="9" tint="0.59999389629810485"/>
        </patternFill>
      </fill>
      <alignment horizontal="general" vertical="bottom" textRotation="0" wrapText="0" indent="0" justifyLastLine="0" shrinkToFit="0" readingOrder="1"/>
      <border diagonalUp="0" diagonalDown="0">
        <left style="thin">
          <color rgb="FF000000"/>
        </left>
        <right style="thin">
          <color rgb="FF000000"/>
        </right>
        <top/>
        <bottom/>
      </border>
    </dxf>
    <dxf>
      <font>
        <color rgb="FF9C0006"/>
      </font>
      <fill>
        <patternFill patternType="solid">
          <bgColor theme="4" tint="0.79998168889431442"/>
        </patternFill>
      </fill>
    </dxf>
    <dxf>
      <font>
        <b val="0"/>
        <i val="0"/>
        <strike val="0"/>
        <condense val="0"/>
        <extend val="0"/>
        <outline val="0"/>
        <shadow val="0"/>
        <u val="none"/>
        <vertAlign val="baseline"/>
        <sz val="11"/>
        <color rgb="FF000000"/>
        <name val="Aptos Narrow"/>
        <family val="2"/>
        <scheme val="none"/>
      </font>
      <numFmt numFmtId="2" formatCode="0.00"/>
      <fill>
        <patternFill patternType="solid">
          <fgColor indexed="64"/>
          <bgColor theme="0"/>
        </patternFill>
      </fill>
    </dxf>
    <dxf>
      <font>
        <b val="0"/>
        <i val="0"/>
        <strike val="0"/>
        <condense val="0"/>
        <extend val="0"/>
        <outline val="0"/>
        <shadow val="0"/>
        <u val="none"/>
        <vertAlign val="baseline"/>
        <sz val="11"/>
        <color rgb="FF000000"/>
        <name val="Aptos Narrow"/>
        <family val="2"/>
        <scheme val="none"/>
      </font>
      <fill>
        <patternFill patternType="none">
          <fgColor indexed="64"/>
          <bgColor theme="5" tint="0.39997558519241921"/>
        </patternFill>
      </fill>
    </dxf>
    <dxf>
      <font>
        <b val="0"/>
        <i val="0"/>
        <strike val="0"/>
        <condense val="0"/>
        <extend val="0"/>
        <outline val="0"/>
        <shadow val="0"/>
        <u val="none"/>
        <vertAlign val="baseline"/>
        <sz val="11"/>
        <color rgb="FF000000"/>
        <name val="Aptos Narrow"/>
        <family val="2"/>
        <scheme val="none"/>
      </font>
      <fill>
        <patternFill patternType="none">
          <fgColor indexed="64"/>
          <bgColor theme="9" tint="0.59999389629810485"/>
        </patternFill>
      </fill>
    </dxf>
    <dxf>
      <font>
        <b val="0"/>
        <i val="0"/>
        <strike val="0"/>
        <condense val="0"/>
        <extend val="0"/>
        <outline val="0"/>
        <shadow val="0"/>
        <u val="none"/>
        <vertAlign val="baseline"/>
        <sz val="11"/>
        <color rgb="FF000000"/>
        <name val="Aptos Narrow"/>
        <family val="2"/>
        <scheme val="none"/>
      </font>
      <fill>
        <patternFill patternType="solid">
          <fgColor indexed="64"/>
          <bgColor theme="0"/>
        </patternFill>
      </fill>
    </dxf>
    <dxf>
      <font>
        <b val="0"/>
        <i val="0"/>
        <strike val="0"/>
        <condense val="0"/>
        <extend val="0"/>
        <outline val="0"/>
        <shadow val="0"/>
        <u val="none"/>
        <vertAlign val="baseline"/>
        <sz val="11"/>
        <color rgb="FF000000"/>
        <name val="Aptos Narrow"/>
        <family val="2"/>
        <scheme val="none"/>
      </font>
      <numFmt numFmtId="164" formatCode="[$-409]d\-mmm\-yy;@"/>
      <fill>
        <patternFill patternType="solid">
          <fgColor indexed="64"/>
          <bgColor theme="0"/>
        </patternFill>
      </fill>
    </dxf>
    <dxf>
      <border>
        <left/>
        <right/>
        <top/>
        <bottom/>
      </border>
    </dxf>
    <dxf>
      <font>
        <b/>
        <i val="0"/>
        <strike val="0"/>
        <condense val="0"/>
        <extend val="0"/>
        <outline val="0"/>
        <shadow val="0"/>
        <u val="none"/>
        <vertAlign val="baseline"/>
        <sz val="11"/>
        <color rgb="FF000000"/>
        <name val="Aptos Narrow"/>
        <family val="2"/>
        <scheme val="none"/>
      </font>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23194EC6-56E2-4103-9B1B-1016CCAE80D4}"/>
  </tableStyles>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[BankStatement_ExcelProject.xlsx]pivot table!PivotTable2</c:name>
    <c:fmtId val="4"/>
  </c:pivotSource>
  <c:chart>
    <c:title>
      <c:tx>
        <c:rich>
          <a:bodyPr rot="0" spcFirstLastPara="1" vertOverflow="ellipsis" vert="horz" wrap="square" anchor="ctr" anchorCtr="1"/>
          <a:lstStyle/>
          <a:p>
            <a:pPr>
              <a:defRPr sz="1600" b="1" i="0" u="none" strike="noStrike" kern="1200" spc="0" baseline="0">
                <a:solidFill>
                  <a:srgbClr val="782170"/>
                </a:solidFill>
                <a:latin typeface="+mn-lt"/>
                <a:ea typeface="+mn-ea"/>
                <a:cs typeface="+mn-cs"/>
              </a:defRPr>
            </a:pPr>
            <a:r>
              <a:rPr lang="en-US"/>
              <a:t>Balance over time  (£)</a:t>
            </a:r>
          </a:p>
        </c:rich>
      </c:tx>
      <c:overlay val="0"/>
      <c:spPr>
        <a:solidFill>
          <a:srgbClr val="FFC000"/>
        </a:solidFill>
        <a:ln w="25400">
          <a:noFill/>
        </a:ln>
        <a:effectLst/>
      </c:spPr>
      <c:txPr>
        <a:bodyPr rot="0" spcFirstLastPara="1" vertOverflow="ellipsis" vert="horz" wrap="square" anchor="ctr" anchorCtr="1"/>
        <a:lstStyle/>
        <a:p>
          <a:pPr>
            <a:defRPr sz="1600" b="1" i="0" u="none" strike="noStrike" kern="1200" spc="0" baseline="0">
              <a:solidFill>
                <a:srgbClr val="782170"/>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table'!$D$2:$D$7</c:f>
              <c:strCache>
                <c:ptCount val="5"/>
                <c:pt idx="0">
                  <c:v>Jan</c:v>
                </c:pt>
                <c:pt idx="1">
                  <c:v>Feb</c:v>
                </c:pt>
                <c:pt idx="2">
                  <c:v>Mar</c:v>
                </c:pt>
                <c:pt idx="3">
                  <c:v>Apr</c:v>
                </c:pt>
                <c:pt idx="4">
                  <c:v>May</c:v>
                </c:pt>
              </c:strCache>
            </c:strRef>
          </c:cat>
          <c:val>
            <c:numRef>
              <c:f>'pivot table'!$E$2:$E$7</c:f>
              <c:numCache>
                <c:formatCode>0.00</c:formatCode>
                <c:ptCount val="5"/>
                <c:pt idx="0">
                  <c:v>38615.85</c:v>
                </c:pt>
                <c:pt idx="1">
                  <c:v>31478.569999999996</c:v>
                </c:pt>
                <c:pt idx="2">
                  <c:v>14695.879999999997</c:v>
                </c:pt>
                <c:pt idx="3">
                  <c:v>46445.81</c:v>
                </c:pt>
                <c:pt idx="4">
                  <c:v>67506.789999999994</c:v>
                </c:pt>
              </c:numCache>
            </c:numRef>
          </c:val>
          <c:smooth val="0"/>
          <c:extLst>
            <c:ext xmlns:c16="http://schemas.microsoft.com/office/drawing/2014/chart" uri="{C3380CC4-5D6E-409C-BE32-E72D297353CC}">
              <c16:uniqueId val="{00000000-80EB-44CE-8271-D1557B9A3B94}"/>
            </c:ext>
          </c:extLst>
        </c:ser>
        <c:dLbls>
          <c:showLegendKey val="0"/>
          <c:showVal val="0"/>
          <c:showCatName val="0"/>
          <c:showSerName val="0"/>
          <c:showPercent val="0"/>
          <c:showBubbleSize val="0"/>
        </c:dLbls>
        <c:marker val="1"/>
        <c:smooth val="0"/>
        <c:axId val="1259266056"/>
        <c:axId val="1259268104"/>
      </c:lineChart>
      <c:catAx>
        <c:axId val="1259266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9268104"/>
        <c:crosses val="autoZero"/>
        <c:auto val="1"/>
        <c:lblAlgn val="ctr"/>
        <c:lblOffset val="100"/>
        <c:noMultiLvlLbl val="0"/>
      </c:catAx>
      <c:valAx>
        <c:axId val="12592681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9266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[BankStatement_ExcelProject.xlsx]pivot table!PivotTable4</c:name>
    <c:fmtId val="11"/>
  </c:pivotSource>
  <c:chart>
    <c:title>
      <c:tx>
        <c:rich>
          <a:bodyPr rot="0" spcFirstLastPara="1" vertOverflow="ellipsis" vert="horz" wrap="square" anchor="ctr" anchorCtr="1"/>
          <a:lstStyle/>
          <a:p>
            <a:pPr>
              <a:defRPr sz="1600" b="1" i="0" u="none" strike="noStrike" kern="1200" spc="0" baseline="0">
                <a:solidFill>
                  <a:srgbClr val="A02B93"/>
                </a:solidFill>
                <a:latin typeface="+mn-lt"/>
                <a:ea typeface="+mn-ea"/>
                <a:cs typeface="+mn-cs"/>
              </a:defRPr>
            </a:pPr>
            <a:r>
              <a:rPr lang="en-US"/>
              <a:t>Monthly Summary</a:t>
            </a:r>
          </a:p>
        </c:rich>
      </c:tx>
      <c:overlay val="0"/>
      <c:spPr>
        <a:solidFill>
          <a:srgbClr val="FFC000"/>
        </a:solidFill>
        <a:ln w="25400">
          <a:noFill/>
        </a:ln>
        <a:effectLst/>
      </c:spPr>
      <c:txPr>
        <a:bodyPr rot="0" spcFirstLastPara="1" vertOverflow="ellipsis" vert="horz" wrap="square" anchor="ctr" anchorCtr="1"/>
        <a:lstStyle/>
        <a:p>
          <a:pPr>
            <a:defRPr sz="1600" b="1" i="0" u="none" strike="noStrike" kern="1200" spc="0" baseline="0">
              <a:solidFill>
                <a:srgbClr val="A02B93"/>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Count of Pay in (£)</c:v>
                </c:pt>
              </c:strCache>
            </c:strRef>
          </c:tx>
          <c:spPr>
            <a:solidFill>
              <a:schemeClr val="accent1"/>
            </a:solidFill>
            <a:ln>
              <a:noFill/>
            </a:ln>
            <a:effectLst/>
          </c:spPr>
          <c:invertIfNegative val="0"/>
          <c:cat>
            <c:strRef>
              <c:f>'pivot table'!$G$2:$G$7</c:f>
              <c:strCache>
                <c:ptCount val="5"/>
                <c:pt idx="0">
                  <c:v>Jan</c:v>
                </c:pt>
                <c:pt idx="1">
                  <c:v>Feb</c:v>
                </c:pt>
                <c:pt idx="2">
                  <c:v>Mar</c:v>
                </c:pt>
                <c:pt idx="3">
                  <c:v>Apr</c:v>
                </c:pt>
                <c:pt idx="4">
                  <c:v>May</c:v>
                </c:pt>
              </c:strCache>
            </c:strRef>
          </c:cat>
          <c:val>
            <c:numRef>
              <c:f>'pivot table'!$H$2:$H$7</c:f>
              <c:numCache>
                <c:formatCode>General</c:formatCode>
                <c:ptCount val="5"/>
                <c:pt idx="0">
                  <c:v>9</c:v>
                </c:pt>
                <c:pt idx="1">
                  <c:v>8</c:v>
                </c:pt>
                <c:pt idx="2">
                  <c:v>3</c:v>
                </c:pt>
                <c:pt idx="3">
                  <c:v>7</c:v>
                </c:pt>
                <c:pt idx="4">
                  <c:v>8</c:v>
                </c:pt>
              </c:numCache>
            </c:numRef>
          </c:val>
          <c:extLst>
            <c:ext xmlns:c16="http://schemas.microsoft.com/office/drawing/2014/chart" uri="{C3380CC4-5D6E-409C-BE32-E72D297353CC}">
              <c16:uniqueId val="{00000000-E66B-4819-BA49-5A6646843C81}"/>
            </c:ext>
          </c:extLst>
        </c:ser>
        <c:ser>
          <c:idx val="1"/>
          <c:order val="1"/>
          <c:tx>
            <c:strRef>
              <c:f>'pivot table'!$I$1</c:f>
              <c:strCache>
                <c:ptCount val="1"/>
                <c:pt idx="0">
                  <c:v>Count of Withdraw in (£)</c:v>
                </c:pt>
              </c:strCache>
            </c:strRef>
          </c:tx>
          <c:spPr>
            <a:solidFill>
              <a:schemeClr val="accent2"/>
            </a:solidFill>
            <a:ln>
              <a:noFill/>
            </a:ln>
            <a:effectLst/>
          </c:spPr>
          <c:invertIfNegative val="0"/>
          <c:cat>
            <c:strRef>
              <c:f>'pivot table'!$G$2:$G$7</c:f>
              <c:strCache>
                <c:ptCount val="5"/>
                <c:pt idx="0">
                  <c:v>Jan</c:v>
                </c:pt>
                <c:pt idx="1">
                  <c:v>Feb</c:v>
                </c:pt>
                <c:pt idx="2">
                  <c:v>Mar</c:v>
                </c:pt>
                <c:pt idx="3">
                  <c:v>Apr</c:v>
                </c:pt>
                <c:pt idx="4">
                  <c:v>May</c:v>
                </c:pt>
              </c:strCache>
            </c:strRef>
          </c:cat>
          <c:val>
            <c:numRef>
              <c:f>'pivot table'!$I$2:$I$7</c:f>
              <c:numCache>
                <c:formatCode>General</c:formatCode>
                <c:ptCount val="5"/>
                <c:pt idx="0">
                  <c:v>8</c:v>
                </c:pt>
                <c:pt idx="1">
                  <c:v>8</c:v>
                </c:pt>
                <c:pt idx="2">
                  <c:v>4</c:v>
                </c:pt>
                <c:pt idx="3">
                  <c:v>5</c:v>
                </c:pt>
                <c:pt idx="4">
                  <c:v>8</c:v>
                </c:pt>
              </c:numCache>
            </c:numRef>
          </c:val>
          <c:extLst>
            <c:ext xmlns:c16="http://schemas.microsoft.com/office/drawing/2014/chart" uri="{C3380CC4-5D6E-409C-BE32-E72D297353CC}">
              <c16:uniqueId val="{00000001-E66B-4819-BA49-5A6646843C81}"/>
            </c:ext>
          </c:extLst>
        </c:ser>
        <c:dLbls>
          <c:showLegendKey val="0"/>
          <c:showVal val="0"/>
          <c:showCatName val="0"/>
          <c:showSerName val="0"/>
          <c:showPercent val="0"/>
          <c:showBubbleSize val="0"/>
        </c:dLbls>
        <c:gapWidth val="219"/>
        <c:overlap val="-27"/>
        <c:axId val="1539009544"/>
        <c:axId val="1539003400"/>
      </c:barChart>
      <c:catAx>
        <c:axId val="1539009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39003400"/>
        <c:crosses val="autoZero"/>
        <c:auto val="1"/>
        <c:lblAlgn val="ctr"/>
        <c:lblOffset val="100"/>
        <c:noMultiLvlLbl val="0"/>
      </c:catAx>
      <c:valAx>
        <c:axId val="1539003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39009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[BankStatement_ExcelProject.xlsx]pivot table!PivotTable1</c:name>
    <c:fmtId val="4"/>
  </c:pivotSource>
  <c:chart>
    <c:title>
      <c:tx>
        <c:rich>
          <a:bodyPr rot="0" spcFirstLastPara="1" vertOverflow="ellipsis" vert="horz" wrap="square" anchor="ctr" anchorCtr="1"/>
          <a:lstStyle/>
          <a:p>
            <a:pPr>
              <a:defRPr sz="1600" b="1" i="0" u="none" strike="noStrike" kern="1200" spc="0" baseline="0">
                <a:solidFill>
                  <a:srgbClr val="782170"/>
                </a:solidFill>
                <a:latin typeface="+mn-lt"/>
                <a:ea typeface="+mn-ea"/>
                <a:cs typeface="+mn-cs"/>
              </a:defRPr>
            </a:pPr>
            <a:r>
              <a:rPr lang="en-US"/>
              <a:t>Spending by Category</a:t>
            </a:r>
          </a:p>
        </c:rich>
      </c:tx>
      <c:overlay val="0"/>
      <c:spPr>
        <a:solidFill>
          <a:srgbClr val="FFC000"/>
        </a:solidFill>
        <a:ln>
          <a:noFill/>
        </a:ln>
        <a:effectLst/>
      </c:spPr>
      <c:txPr>
        <a:bodyPr rot="0" spcFirstLastPara="1" vertOverflow="ellipsis" vert="horz" wrap="square" anchor="ctr" anchorCtr="1"/>
        <a:lstStyle/>
        <a:p>
          <a:pPr>
            <a:defRPr sz="1600" b="1" i="0" u="none" strike="noStrike" kern="1200" spc="0" baseline="0">
              <a:solidFill>
                <a:srgbClr val="78217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table'!$A$2:$A$14</c:f>
              <c:strCache>
                <c:ptCount val="12"/>
                <c:pt idx="0">
                  <c:v>Appliances</c:v>
                </c:pt>
                <c:pt idx="1">
                  <c:v>Council Tax</c:v>
                </c:pt>
                <c:pt idx="2">
                  <c:v>Entertainment</c:v>
                </c:pt>
                <c:pt idx="3">
                  <c:v>Gift</c:v>
                </c:pt>
                <c:pt idx="4">
                  <c:v>Groceries</c:v>
                </c:pt>
                <c:pt idx="5">
                  <c:v>Installment</c:v>
                </c:pt>
                <c:pt idx="6">
                  <c:v>Mobile Expense</c:v>
                </c:pt>
                <c:pt idx="7">
                  <c:v>previous due</c:v>
                </c:pt>
                <c:pt idx="8">
                  <c:v>Rent</c:v>
                </c:pt>
                <c:pt idx="9">
                  <c:v>Salary</c:v>
                </c:pt>
                <c:pt idx="10">
                  <c:v>Shopping</c:v>
                </c:pt>
                <c:pt idx="11">
                  <c:v>Utilities</c:v>
                </c:pt>
              </c:strCache>
            </c:strRef>
          </c:cat>
          <c:val>
            <c:numRef>
              <c:f>'pivot table'!$B$2:$B$14</c:f>
              <c:numCache>
                <c:formatCode>General</c:formatCode>
                <c:ptCount val="12"/>
                <c:pt idx="0">
                  <c:v>2</c:v>
                </c:pt>
                <c:pt idx="1">
                  <c:v>1</c:v>
                </c:pt>
                <c:pt idx="2">
                  <c:v>3</c:v>
                </c:pt>
                <c:pt idx="3">
                  <c:v>2</c:v>
                </c:pt>
                <c:pt idx="4">
                  <c:v>2</c:v>
                </c:pt>
                <c:pt idx="5">
                  <c:v>5</c:v>
                </c:pt>
                <c:pt idx="6">
                  <c:v>6</c:v>
                </c:pt>
                <c:pt idx="8">
                  <c:v>2</c:v>
                </c:pt>
                <c:pt idx="9">
                  <c:v>3</c:v>
                </c:pt>
                <c:pt idx="10">
                  <c:v>3</c:v>
                </c:pt>
                <c:pt idx="11">
                  <c:v>4</c:v>
                </c:pt>
              </c:numCache>
            </c:numRef>
          </c:val>
          <c:extLst>
            <c:ext xmlns:c16="http://schemas.microsoft.com/office/drawing/2014/chart" uri="{C3380CC4-5D6E-409C-BE32-E72D297353CC}">
              <c16:uniqueId val="{00000000-D0B4-4228-815D-DE950FF25194}"/>
            </c:ext>
          </c:extLst>
        </c:ser>
        <c:dLbls>
          <c:showLegendKey val="0"/>
          <c:showVal val="0"/>
          <c:showCatName val="0"/>
          <c:showSerName val="0"/>
          <c:showPercent val="0"/>
          <c:showBubbleSize val="0"/>
        </c:dLbls>
        <c:gapWidth val="182"/>
        <c:axId val="1278724616"/>
        <c:axId val="1278734856"/>
      </c:barChart>
      <c:catAx>
        <c:axId val="1278724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8734856"/>
        <c:crosses val="autoZero"/>
        <c:auto val="1"/>
        <c:lblAlgn val="ctr"/>
        <c:lblOffset val="100"/>
        <c:noMultiLvlLbl val="0"/>
      </c:catAx>
      <c:valAx>
        <c:axId val="1278734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8724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[BankStatement_ExcelProject.xlsx]pivot table!PivotTable3</c:name>
    <c:fmtId val="4"/>
  </c:pivotSource>
  <c:chart>
    <c:title>
      <c:tx>
        <c:rich>
          <a:bodyPr rot="0" spcFirstLastPara="1" vertOverflow="ellipsis" vert="horz" wrap="square" anchor="ctr" anchorCtr="1"/>
          <a:lstStyle/>
          <a:p>
            <a:pPr>
              <a:defRPr sz="1600" b="1" i="0" u="none" strike="noStrike" kern="1200" spc="0" baseline="0">
                <a:solidFill>
                  <a:srgbClr val="782170"/>
                </a:solidFill>
                <a:latin typeface="+mn-lt"/>
                <a:ea typeface="+mn-ea"/>
                <a:cs typeface="+mn-cs"/>
              </a:defRPr>
            </a:pPr>
            <a:r>
              <a:rPr lang="en-US"/>
              <a:t>Income Sources</a:t>
            </a:r>
          </a:p>
        </c:rich>
      </c:tx>
      <c:overlay val="0"/>
      <c:spPr>
        <a:solidFill>
          <a:srgbClr val="FFC000"/>
        </a:solidFill>
        <a:ln>
          <a:noFill/>
        </a:ln>
        <a:effectLst/>
      </c:spPr>
      <c:txPr>
        <a:bodyPr rot="0" spcFirstLastPara="1" vertOverflow="ellipsis" vert="horz" wrap="square" anchor="ctr" anchorCtr="1"/>
        <a:lstStyle/>
        <a:p>
          <a:pPr>
            <a:defRPr sz="1600" b="1" i="0" u="none" strike="noStrike" kern="1200" spc="0" baseline="0">
              <a:solidFill>
                <a:srgbClr val="78217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6.7655477491543034E-2"/>
              <c:y val="0.101394169835234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9.1074681238615715E-2"/>
              <c:y val="5.0697084917617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9.1074763195584163E-2"/>
              <c:y val="-4.22475707646807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5.4644808743169231E-2"/>
              <c:y val="-9.29446556822983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1189175123601335"/>
              <c:y val="4.22475707646797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9.3676814988290405E-2"/>
              <c:y val="-4.6472327841149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6.7655477491543201E-2"/>
              <c:y val="-8.87198986058301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4.9440541243820142E-2"/>
              <c:y val="-0.135192226446979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9.1074681238615743E-2"/>
              <c:y val="-5.49218419940853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7.8064012490242085E-2"/>
              <c:y val="6.75961132234896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8.3268279989591423E-2"/>
              <c:y val="4.22475707646809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dLbl>
          <c:idx val="0"/>
          <c:layout>
            <c:manualLayout>
              <c:x val="-4.9440541243820142E-2"/>
              <c:y val="-0.135192226446979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dLbl>
          <c:idx val="0"/>
          <c:layout>
            <c:manualLayout>
              <c:x val="6.7655477491543201E-2"/>
              <c:y val="-8.87198986058301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dLbl>
          <c:idx val="0"/>
          <c:layout>
            <c:manualLayout>
              <c:x val="9.3676814988290405E-2"/>
              <c:y val="-4.64723278411491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dLbl>
          <c:idx val="0"/>
          <c:layout>
            <c:manualLayout>
              <c:x val="0.11189175123601335"/>
              <c:y val="4.224757076467979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dLbl>
          <c:idx val="0"/>
          <c:layout>
            <c:manualLayout>
              <c:x val="8.3268279989591423E-2"/>
              <c:y val="4.22475707646809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dLbl>
          <c:idx val="0"/>
          <c:layout>
            <c:manualLayout>
              <c:x val="6.7655477491543034E-2"/>
              <c:y val="0.101394169835234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dLbl>
          <c:idx val="0"/>
          <c:layout>
            <c:manualLayout>
              <c:x val="-9.1074681238615715E-2"/>
              <c:y val="5.06970849176172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dLbl>
          <c:idx val="0"/>
          <c:layout>
            <c:manualLayout>
              <c:x val="-7.8064012490242085E-2"/>
              <c:y val="6.75961132234896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dLbl>
          <c:idx val="0"/>
          <c:layout>
            <c:manualLayout>
              <c:x val="-9.1074763195584163E-2"/>
              <c:y val="-4.224757076468072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dLbl>
          <c:idx val="0"/>
          <c:layout>
            <c:manualLayout>
              <c:x val="-9.1074681238615743E-2"/>
              <c:y val="-5.49218419940853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dLbl>
          <c:idx val="0"/>
          <c:layout>
            <c:manualLayout>
              <c:x val="-5.4644808743169231E-2"/>
              <c:y val="-9.29446556822983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A5-4DD1-967B-B1C931E2BB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A5-4DD1-967B-B1C931E2BB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A5-4DD1-967B-B1C931E2BB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A5-4DD1-967B-B1C931E2BB5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A5-4DD1-967B-B1C931E2BB5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CA5-4DD1-967B-B1C931E2BB5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CA5-4DD1-967B-B1C931E2BB5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CA5-4DD1-967B-B1C931E2BB5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CA5-4DD1-967B-B1C931E2BB5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CA5-4DD1-967B-B1C931E2BB5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CA5-4DD1-967B-B1C931E2BB5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CA5-4DD1-967B-B1C931E2BB51}"/>
              </c:ext>
            </c:extLst>
          </c:dPt>
          <c:dLbls>
            <c:dLbl>
              <c:idx val="0"/>
              <c:layout>
                <c:manualLayout>
                  <c:x val="-4.9440541243820142E-2"/>
                  <c:y val="-0.135192226446979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A5-4DD1-967B-B1C931E2BB51}"/>
                </c:ext>
              </c:extLst>
            </c:dLbl>
            <c:dLbl>
              <c:idx val="1"/>
              <c:layout>
                <c:manualLayout>
                  <c:x val="6.7655477491543201E-2"/>
                  <c:y val="-8.8719898605830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CA5-4DD1-967B-B1C931E2BB51}"/>
                </c:ext>
              </c:extLst>
            </c:dLbl>
            <c:dLbl>
              <c:idx val="2"/>
              <c:layout>
                <c:manualLayout>
                  <c:x val="9.3676814988290405E-2"/>
                  <c:y val="-4.64723278411491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CA5-4DD1-967B-B1C931E2BB51}"/>
                </c:ext>
              </c:extLst>
            </c:dLbl>
            <c:dLbl>
              <c:idx val="3"/>
              <c:layout>
                <c:manualLayout>
                  <c:x val="0.11189175123601335"/>
                  <c:y val="4.22475707646797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CA5-4DD1-967B-B1C931E2BB51}"/>
                </c:ext>
              </c:extLst>
            </c:dLbl>
            <c:dLbl>
              <c:idx val="4"/>
              <c:layout>
                <c:manualLayout>
                  <c:x val="8.3268279989591423E-2"/>
                  <c:y val="4.2247570764680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CA5-4DD1-967B-B1C931E2BB51}"/>
                </c:ext>
              </c:extLst>
            </c:dLbl>
            <c:dLbl>
              <c:idx val="5"/>
              <c:layout>
                <c:manualLayout>
                  <c:x val="6.7655477491543034E-2"/>
                  <c:y val="0.101394169835234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CA5-4DD1-967B-B1C931E2BB51}"/>
                </c:ext>
              </c:extLst>
            </c:dLbl>
            <c:dLbl>
              <c:idx val="6"/>
              <c:layout>
                <c:manualLayout>
                  <c:x val="-9.1074681238615715E-2"/>
                  <c:y val="5.0697084917617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CA5-4DD1-967B-B1C931E2BB51}"/>
                </c:ext>
              </c:extLst>
            </c:dLbl>
            <c:dLbl>
              <c:idx val="7"/>
              <c:layout>
                <c:manualLayout>
                  <c:x val="-7.8064012490242085E-2"/>
                  <c:y val="6.75961132234896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CA5-4DD1-967B-B1C931E2BB51}"/>
                </c:ext>
              </c:extLst>
            </c:dLbl>
            <c:dLbl>
              <c:idx val="8"/>
              <c:layout>
                <c:manualLayout>
                  <c:x val="-9.1074763195584163E-2"/>
                  <c:y val="-4.22475707646807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CA5-4DD1-967B-B1C931E2BB51}"/>
                </c:ext>
              </c:extLst>
            </c:dLbl>
            <c:dLbl>
              <c:idx val="9"/>
              <c:layout>
                <c:manualLayout>
                  <c:x val="-9.1074681238615743E-2"/>
                  <c:y val="-5.49218419940853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CA5-4DD1-967B-B1C931E2BB51}"/>
                </c:ext>
              </c:extLst>
            </c:dLbl>
            <c:dLbl>
              <c:idx val="11"/>
              <c:layout>
                <c:manualLayout>
                  <c:x val="-5.4644808743169231E-2"/>
                  <c:y val="-9.29446556822983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CA5-4DD1-967B-B1C931E2B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table'!$A$17:$A$29</c:f>
              <c:strCache>
                <c:ptCount val="12"/>
                <c:pt idx="0">
                  <c:v>Appliances</c:v>
                </c:pt>
                <c:pt idx="1">
                  <c:v>Council Tax</c:v>
                </c:pt>
                <c:pt idx="2">
                  <c:v>Entertainment</c:v>
                </c:pt>
                <c:pt idx="3">
                  <c:v>Gift</c:v>
                </c:pt>
                <c:pt idx="4">
                  <c:v>Groceries</c:v>
                </c:pt>
                <c:pt idx="5">
                  <c:v>Installment</c:v>
                </c:pt>
                <c:pt idx="6">
                  <c:v>Mobile Expense</c:v>
                </c:pt>
                <c:pt idx="7">
                  <c:v>previous due</c:v>
                </c:pt>
                <c:pt idx="8">
                  <c:v>Rent</c:v>
                </c:pt>
                <c:pt idx="9">
                  <c:v>Salary</c:v>
                </c:pt>
                <c:pt idx="10">
                  <c:v>Shopping</c:v>
                </c:pt>
                <c:pt idx="11">
                  <c:v>Utilities</c:v>
                </c:pt>
              </c:strCache>
            </c:strRef>
          </c:cat>
          <c:val>
            <c:numRef>
              <c:f>'pivot table'!$B$17:$B$29</c:f>
              <c:numCache>
                <c:formatCode>General</c:formatCode>
                <c:ptCount val="12"/>
                <c:pt idx="0">
                  <c:v>2</c:v>
                </c:pt>
                <c:pt idx="1">
                  <c:v>1</c:v>
                </c:pt>
                <c:pt idx="2">
                  <c:v>3</c:v>
                </c:pt>
                <c:pt idx="3">
                  <c:v>4</c:v>
                </c:pt>
                <c:pt idx="4">
                  <c:v>3</c:v>
                </c:pt>
                <c:pt idx="5">
                  <c:v>5</c:v>
                </c:pt>
                <c:pt idx="6">
                  <c:v>6</c:v>
                </c:pt>
                <c:pt idx="7">
                  <c:v>1</c:v>
                </c:pt>
                <c:pt idx="8">
                  <c:v>2</c:v>
                </c:pt>
                <c:pt idx="9">
                  <c:v>4</c:v>
                </c:pt>
                <c:pt idx="11">
                  <c:v>4</c:v>
                </c:pt>
              </c:numCache>
            </c:numRef>
          </c:val>
          <c:extLst>
            <c:ext xmlns:c16="http://schemas.microsoft.com/office/drawing/2014/chart" uri="{C3380CC4-5D6E-409C-BE32-E72D297353CC}">
              <c16:uniqueId val="{00000018-2CA5-4DD1-967B-B1C931E2BB51}"/>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[BankStatement_ExcelProject.xlsx]pivot table!PivotTable4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c:f>
              <c:strCache>
                <c:ptCount val="1"/>
                <c:pt idx="0">
                  <c:v>Count of Pay in (£)</c:v>
                </c:pt>
              </c:strCache>
            </c:strRef>
          </c:tx>
          <c:spPr>
            <a:solidFill>
              <a:schemeClr val="accent1"/>
            </a:solidFill>
            <a:ln>
              <a:noFill/>
            </a:ln>
            <a:effectLst/>
          </c:spPr>
          <c:invertIfNegative val="0"/>
          <c:cat>
            <c:strRef>
              <c:f>'pivot table'!$G$2:$G$7</c:f>
              <c:strCache>
                <c:ptCount val="5"/>
                <c:pt idx="0">
                  <c:v>Jan</c:v>
                </c:pt>
                <c:pt idx="1">
                  <c:v>Feb</c:v>
                </c:pt>
                <c:pt idx="2">
                  <c:v>Mar</c:v>
                </c:pt>
                <c:pt idx="3">
                  <c:v>Apr</c:v>
                </c:pt>
                <c:pt idx="4">
                  <c:v>May</c:v>
                </c:pt>
              </c:strCache>
            </c:strRef>
          </c:cat>
          <c:val>
            <c:numRef>
              <c:f>'pivot table'!$H$2:$H$7</c:f>
              <c:numCache>
                <c:formatCode>General</c:formatCode>
                <c:ptCount val="5"/>
                <c:pt idx="0">
                  <c:v>9</c:v>
                </c:pt>
                <c:pt idx="1">
                  <c:v>8</c:v>
                </c:pt>
                <c:pt idx="2">
                  <c:v>3</c:v>
                </c:pt>
                <c:pt idx="3">
                  <c:v>7</c:v>
                </c:pt>
                <c:pt idx="4">
                  <c:v>8</c:v>
                </c:pt>
              </c:numCache>
            </c:numRef>
          </c:val>
          <c:extLst>
            <c:ext xmlns:c16="http://schemas.microsoft.com/office/drawing/2014/chart" uri="{C3380CC4-5D6E-409C-BE32-E72D297353CC}">
              <c16:uniqueId val="{00000001-F9DA-43D1-B2EF-6EBEA6F9A84D}"/>
            </c:ext>
          </c:extLst>
        </c:ser>
        <c:ser>
          <c:idx val="1"/>
          <c:order val="1"/>
          <c:tx>
            <c:strRef>
              <c:f>'pivot table'!$I$1</c:f>
              <c:strCache>
                <c:ptCount val="1"/>
                <c:pt idx="0">
                  <c:v>Count of Withdraw in (£)</c:v>
                </c:pt>
              </c:strCache>
            </c:strRef>
          </c:tx>
          <c:spPr>
            <a:solidFill>
              <a:schemeClr val="accent2"/>
            </a:solidFill>
            <a:ln>
              <a:noFill/>
            </a:ln>
            <a:effectLst/>
          </c:spPr>
          <c:invertIfNegative val="0"/>
          <c:cat>
            <c:strRef>
              <c:f>'pivot table'!$G$2:$G$7</c:f>
              <c:strCache>
                <c:ptCount val="5"/>
                <c:pt idx="0">
                  <c:v>Jan</c:v>
                </c:pt>
                <c:pt idx="1">
                  <c:v>Feb</c:v>
                </c:pt>
                <c:pt idx="2">
                  <c:v>Mar</c:v>
                </c:pt>
                <c:pt idx="3">
                  <c:v>Apr</c:v>
                </c:pt>
                <c:pt idx="4">
                  <c:v>May</c:v>
                </c:pt>
              </c:strCache>
            </c:strRef>
          </c:cat>
          <c:val>
            <c:numRef>
              <c:f>'pivot table'!$I$2:$I$7</c:f>
              <c:numCache>
                <c:formatCode>General</c:formatCode>
                <c:ptCount val="5"/>
                <c:pt idx="0">
                  <c:v>8</c:v>
                </c:pt>
                <c:pt idx="1">
                  <c:v>8</c:v>
                </c:pt>
                <c:pt idx="2">
                  <c:v>4</c:v>
                </c:pt>
                <c:pt idx="3">
                  <c:v>5</c:v>
                </c:pt>
                <c:pt idx="4">
                  <c:v>8</c:v>
                </c:pt>
              </c:numCache>
            </c:numRef>
          </c:val>
          <c:extLst>
            <c:ext xmlns:c16="http://schemas.microsoft.com/office/drawing/2014/chart" uri="{C3380CC4-5D6E-409C-BE32-E72D297353CC}">
              <c16:uniqueId val="{00000003-F9DA-43D1-B2EF-6EBEA6F9A84D}"/>
            </c:ext>
          </c:extLst>
        </c:ser>
        <c:dLbls>
          <c:showLegendKey val="0"/>
          <c:showVal val="0"/>
          <c:showCatName val="0"/>
          <c:showSerName val="0"/>
          <c:showPercent val="0"/>
          <c:showBubbleSize val="0"/>
        </c:dLbls>
        <c:gapWidth val="219"/>
        <c:overlap val="-27"/>
        <c:axId val="1539009544"/>
        <c:axId val="1539003400"/>
      </c:barChart>
      <c:catAx>
        <c:axId val="1539009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003400"/>
        <c:crosses val="autoZero"/>
        <c:auto val="1"/>
        <c:lblAlgn val="ctr"/>
        <c:lblOffset val="100"/>
        <c:noMultiLvlLbl val="0"/>
      </c:catAx>
      <c:valAx>
        <c:axId val="1539003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009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[BankStatement_ExcelProject.xlsx]pivot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27-4681-988A-F7FC073483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27-4681-988A-F7FC073483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27-4681-988A-F7FC073483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27-4681-988A-F7FC073483B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27-4681-988A-F7FC073483B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27-4681-988A-F7FC073483B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27-4681-988A-F7FC073483B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F27-4681-988A-F7FC073483B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F27-4681-988A-F7FC073483B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F27-4681-988A-F7FC073483B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F27-4681-988A-F7FC073483B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F27-4681-988A-F7FC073483BE}"/>
              </c:ext>
            </c:extLst>
          </c:dPt>
          <c:cat>
            <c:strRef>
              <c:f>'pivot table'!$A$17:$A$29</c:f>
              <c:strCache>
                <c:ptCount val="12"/>
                <c:pt idx="0">
                  <c:v>Appliances</c:v>
                </c:pt>
                <c:pt idx="1">
                  <c:v>Council Tax</c:v>
                </c:pt>
                <c:pt idx="2">
                  <c:v>Entertainment</c:v>
                </c:pt>
                <c:pt idx="3">
                  <c:v>Gift</c:v>
                </c:pt>
                <c:pt idx="4">
                  <c:v>Groceries</c:v>
                </c:pt>
                <c:pt idx="5">
                  <c:v>Installment</c:v>
                </c:pt>
                <c:pt idx="6">
                  <c:v>Mobile Expense</c:v>
                </c:pt>
                <c:pt idx="7">
                  <c:v>previous due</c:v>
                </c:pt>
                <c:pt idx="8">
                  <c:v>Rent</c:v>
                </c:pt>
                <c:pt idx="9">
                  <c:v>Salary</c:v>
                </c:pt>
                <c:pt idx="10">
                  <c:v>Shopping</c:v>
                </c:pt>
                <c:pt idx="11">
                  <c:v>Utilities</c:v>
                </c:pt>
              </c:strCache>
            </c:strRef>
          </c:cat>
          <c:val>
            <c:numRef>
              <c:f>'pivot table'!$B$17:$B$29</c:f>
              <c:numCache>
                <c:formatCode>General</c:formatCode>
                <c:ptCount val="12"/>
                <c:pt idx="0">
                  <c:v>2</c:v>
                </c:pt>
                <c:pt idx="1">
                  <c:v>1</c:v>
                </c:pt>
                <c:pt idx="2">
                  <c:v>3</c:v>
                </c:pt>
                <c:pt idx="3">
                  <c:v>4</c:v>
                </c:pt>
                <c:pt idx="4">
                  <c:v>3</c:v>
                </c:pt>
                <c:pt idx="5">
                  <c:v>5</c:v>
                </c:pt>
                <c:pt idx="6">
                  <c:v>6</c:v>
                </c:pt>
                <c:pt idx="7">
                  <c:v>1</c:v>
                </c:pt>
                <c:pt idx="8">
                  <c:v>2</c:v>
                </c:pt>
                <c:pt idx="9">
                  <c:v>4</c:v>
                </c:pt>
                <c:pt idx="11">
                  <c:v>4</c:v>
                </c:pt>
              </c:numCache>
            </c:numRef>
          </c:val>
          <c:extLst>
            <c:ext xmlns:c16="http://schemas.microsoft.com/office/drawing/2014/chart" uri="{C3380CC4-5D6E-409C-BE32-E72D297353CC}">
              <c16:uniqueId val="{00000001-0C56-45BB-A532-078F071354D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xlsrvcdf"/></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285750</xdr:colOff>
      <xdr:row>3</xdr:row>
      <xdr:rowOff>123825</xdr:rowOff>
    </xdr:to>
    <xdr:sp macro="" textlink="">
      <xdr:nvSpPr>
        <xdr:cNvPr id="9" name="Rounded Rectangle 1">
          <a:extLst>
            <a:ext uri="{FF2B5EF4-FFF2-40B4-BE49-F238E27FC236}">
              <a16:creationId xmlns:a16="http://schemas.microsoft.com/office/drawing/2014/main" id="{3A796B34-8DE2-7D7C-B52D-5DAF3D6C445D}"/>
            </a:ext>
          </a:extLst>
        </xdr:cNvPr>
        <xdr:cNvSpPr/>
      </xdr:nvSpPr>
      <xdr:spPr>
        <a:xfrm>
          <a:off x="0" y="0"/>
          <a:ext cx="13696950" cy="695325"/>
        </a:xfrm>
        <a:prstGeom prst="roundRect">
          <a:avLst/>
        </a:prstGeom>
        <a:solidFill>
          <a:schemeClr val="accent4">
            <a:lumMod val="60000"/>
            <a:lumOff val="40000"/>
          </a:schemeClr>
        </a:solid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0</xdr:colOff>
      <xdr:row>3</xdr:row>
      <xdr:rowOff>114300</xdr:rowOff>
    </xdr:from>
    <xdr:to>
      <xdr:col>17</xdr:col>
      <xdr:colOff>390525</xdr:colOff>
      <xdr:row>8</xdr:row>
      <xdr:rowOff>114300</xdr:rowOff>
    </xdr:to>
    <xdr:sp macro="" textlink="">
      <xdr:nvSpPr>
        <xdr:cNvPr id="246" name="Rounded Rectangle 3">
          <a:extLst>
            <a:ext uri="{FF2B5EF4-FFF2-40B4-BE49-F238E27FC236}">
              <a16:creationId xmlns:a16="http://schemas.microsoft.com/office/drawing/2014/main" id="{5E371493-23E9-4B96-B404-6921EADB944A}"/>
            </a:ext>
            <a:ext uri="{147F2762-F138-4A5C-976F-8EAC2B608ADB}">
              <a16:predDERef xmlns:a16="http://schemas.microsoft.com/office/drawing/2014/main" pred="{3A796B34-8DE2-7D7C-B52D-5DAF3D6C445D}"/>
            </a:ext>
          </a:extLst>
        </xdr:cNvPr>
        <xdr:cNvSpPr/>
      </xdr:nvSpPr>
      <xdr:spPr>
        <a:xfrm>
          <a:off x="0" y="685800"/>
          <a:ext cx="10753725" cy="952500"/>
        </a:xfrm>
        <a:prstGeom prst="roundRect">
          <a:avLst/>
        </a:prstGeom>
        <a:ln>
          <a:noFill/>
        </a:ln>
      </xdr:spPr>
      <xdr:style>
        <a:lnRef idx="2">
          <a:schemeClr val="accent1"/>
        </a:lnRef>
        <a:fillRef idx="1">
          <a:schemeClr val="l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0</xdr:col>
      <xdr:colOff>0</xdr:colOff>
      <xdr:row>3</xdr:row>
      <xdr:rowOff>133350</xdr:rowOff>
    </xdr:from>
    <xdr:to>
      <xdr:col>1</xdr:col>
      <xdr:colOff>95250</xdr:colOff>
      <xdr:row>8</xdr:row>
      <xdr:rowOff>123825</xdr:rowOff>
    </xdr:to>
    <xdr:sp macro="" textlink="">
      <xdr:nvSpPr>
        <xdr:cNvPr id="211" name="Rounded Rectangle 4">
          <a:extLst>
            <a:ext uri="{FF2B5EF4-FFF2-40B4-BE49-F238E27FC236}">
              <a16:creationId xmlns:a16="http://schemas.microsoft.com/office/drawing/2014/main" id="{703B90B8-91CA-82D6-BEF2-4C477FE414C4}"/>
            </a:ext>
            <a:ext uri="{147F2762-F138-4A5C-976F-8EAC2B608ADB}">
              <a16:predDERef xmlns:a16="http://schemas.microsoft.com/office/drawing/2014/main" pred="{5E371493-23E9-4B96-B404-6921EADB944A}"/>
            </a:ext>
          </a:extLst>
        </xdr:cNvPr>
        <xdr:cNvSpPr/>
      </xdr:nvSpPr>
      <xdr:spPr>
        <a:xfrm>
          <a:off x="0" y="704850"/>
          <a:ext cx="704850" cy="9429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104775</xdr:colOff>
      <xdr:row>3</xdr:row>
      <xdr:rowOff>161925</xdr:rowOff>
    </xdr:from>
    <xdr:to>
      <xdr:col>4</xdr:col>
      <xdr:colOff>19050</xdr:colOff>
      <xdr:row>6</xdr:row>
      <xdr:rowOff>28575</xdr:rowOff>
    </xdr:to>
    <xdr:sp macro="" textlink="">
      <xdr:nvSpPr>
        <xdr:cNvPr id="132" name="Rectangle 5">
          <a:extLst>
            <a:ext uri="{FF2B5EF4-FFF2-40B4-BE49-F238E27FC236}">
              <a16:creationId xmlns:a16="http://schemas.microsoft.com/office/drawing/2014/main" id="{CAFCF858-035B-44FE-46E7-EE59C37B4A7D}"/>
            </a:ext>
            <a:ext uri="{147F2762-F138-4A5C-976F-8EAC2B608ADB}">
              <a16:predDERef xmlns:a16="http://schemas.microsoft.com/office/drawing/2014/main" pred="{703B90B8-91CA-82D6-BEF2-4C477FE414C4}"/>
            </a:ext>
          </a:extLst>
        </xdr:cNvPr>
        <xdr:cNvSpPr/>
      </xdr:nvSpPr>
      <xdr:spPr>
        <a:xfrm>
          <a:off x="714375" y="733425"/>
          <a:ext cx="1743075"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600" b="0" i="0" u="none" strike="noStrike">
              <a:solidFill>
                <a:schemeClr val="lt1"/>
              </a:solidFill>
              <a:latin typeface="+mn-lt"/>
              <a:ea typeface="+mn-lt"/>
              <a:cs typeface="+mn-lt"/>
            </a:rPr>
            <a:t>Pre</a:t>
          </a:r>
          <a:r>
            <a:rPr lang="en-US" sz="1600" b="0" i="0" u="none" strike="noStrike">
              <a:solidFill>
                <a:schemeClr val="lt1"/>
              </a:solidFill>
              <a:latin typeface="Aptos Narrow" panose="020B0004020202020204" pitchFamily="34" charset="0"/>
            </a:rPr>
            <a:t>.</a:t>
          </a:r>
          <a:r>
            <a:rPr lang="en-US" sz="1600" b="0" i="0" u="none" strike="noStrike">
              <a:solidFill>
                <a:schemeClr val="lt1"/>
              </a:solidFill>
              <a:latin typeface="+mn-lt"/>
              <a:ea typeface="+mn-lt"/>
              <a:cs typeface="+mn-lt"/>
            </a:rPr>
            <a:t> Balance</a:t>
          </a:r>
          <a:r>
            <a:rPr lang="en-US" sz="1600" b="0" i="0" u="none" strike="noStrike">
              <a:solidFill>
                <a:schemeClr val="lt1"/>
              </a:solidFill>
              <a:latin typeface="Aptos Narrow" panose="020B0004020202020204" pitchFamily="34" charset="0"/>
            </a:rPr>
            <a:t>  (£)</a:t>
          </a:r>
          <a:endParaRPr lang="en-US" sz="1600" b="0" i="0" u="none" strike="noStrike">
            <a:solidFill>
              <a:schemeClr val="lt1"/>
            </a:solidFill>
            <a:latin typeface="+mn-lt"/>
            <a:ea typeface="+mn-lt"/>
            <a:cs typeface="+mn-lt"/>
          </a:endParaRPr>
        </a:p>
        <a:p>
          <a:pPr marL="0" indent="0" algn="l"/>
          <a:endParaRPr lang="en-US" sz="1600" b="0" i="0" u="none" strike="noStrike">
            <a:solidFill>
              <a:schemeClr val="lt1"/>
            </a:solidFill>
            <a:latin typeface="+mn-lt"/>
            <a:ea typeface="+mn-lt"/>
            <a:cs typeface="+mn-lt"/>
          </a:endParaRPr>
        </a:p>
      </xdr:txBody>
    </xdr:sp>
    <xdr:clientData/>
  </xdr:twoCellAnchor>
  <xdr:twoCellAnchor>
    <xdr:from>
      <xdr:col>4</xdr:col>
      <xdr:colOff>257175</xdr:colOff>
      <xdr:row>3</xdr:row>
      <xdr:rowOff>142875</xdr:rowOff>
    </xdr:from>
    <xdr:to>
      <xdr:col>5</xdr:col>
      <xdr:colOff>352425</xdr:colOff>
      <xdr:row>8</xdr:row>
      <xdr:rowOff>133350</xdr:rowOff>
    </xdr:to>
    <xdr:sp macro="" textlink="">
      <xdr:nvSpPr>
        <xdr:cNvPr id="205" name="Rounded Rectangle 6">
          <a:extLst>
            <a:ext uri="{FF2B5EF4-FFF2-40B4-BE49-F238E27FC236}">
              <a16:creationId xmlns:a16="http://schemas.microsoft.com/office/drawing/2014/main" id="{C90410B1-2582-43D2-8B43-B2F86980FF01}"/>
            </a:ext>
            <a:ext uri="{147F2762-F138-4A5C-976F-8EAC2B608ADB}">
              <a16:predDERef xmlns:a16="http://schemas.microsoft.com/office/drawing/2014/main" pred="{CAFCF858-035B-44FE-46E7-EE59C37B4A7D}"/>
            </a:ext>
          </a:extLst>
        </xdr:cNvPr>
        <xdr:cNvSpPr/>
      </xdr:nvSpPr>
      <xdr:spPr>
        <a:xfrm>
          <a:off x="2695575" y="714375"/>
          <a:ext cx="704850" cy="9429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504825</xdr:colOff>
      <xdr:row>3</xdr:row>
      <xdr:rowOff>142875</xdr:rowOff>
    </xdr:from>
    <xdr:to>
      <xdr:col>9</xdr:col>
      <xdr:colOff>600075</xdr:colOff>
      <xdr:row>8</xdr:row>
      <xdr:rowOff>133350</xdr:rowOff>
    </xdr:to>
    <xdr:sp macro="" textlink="">
      <xdr:nvSpPr>
        <xdr:cNvPr id="209" name="Rounded Rectangle 7">
          <a:extLst>
            <a:ext uri="{FF2B5EF4-FFF2-40B4-BE49-F238E27FC236}">
              <a16:creationId xmlns:a16="http://schemas.microsoft.com/office/drawing/2014/main" id="{5B92DE42-F55F-49AF-B5D8-0C85DF433108}"/>
            </a:ext>
            <a:ext uri="{147F2762-F138-4A5C-976F-8EAC2B608ADB}">
              <a16:predDERef xmlns:a16="http://schemas.microsoft.com/office/drawing/2014/main" pred="{C90410B1-2582-43D2-8B43-B2F86980FF01}"/>
            </a:ext>
          </a:extLst>
        </xdr:cNvPr>
        <xdr:cNvSpPr/>
      </xdr:nvSpPr>
      <xdr:spPr>
        <a:xfrm>
          <a:off x="5381625" y="714375"/>
          <a:ext cx="704850" cy="9429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104775</xdr:colOff>
      <xdr:row>6</xdr:row>
      <xdr:rowOff>47625</xdr:rowOff>
    </xdr:from>
    <xdr:to>
      <xdr:col>4</xdr:col>
      <xdr:colOff>19050</xdr:colOff>
      <xdr:row>8</xdr:row>
      <xdr:rowOff>104775</xdr:rowOff>
    </xdr:to>
    <xdr:sp macro="" textlink="">
      <xdr:nvSpPr>
        <xdr:cNvPr id="146" name="Rectangle 13">
          <a:extLst>
            <a:ext uri="{FF2B5EF4-FFF2-40B4-BE49-F238E27FC236}">
              <a16:creationId xmlns:a16="http://schemas.microsoft.com/office/drawing/2014/main" id="{A87850A8-4597-44F5-BFBE-86ED32D22816}"/>
            </a:ext>
            <a:ext uri="{147F2762-F138-4A5C-976F-8EAC2B608ADB}">
              <a16:predDERef xmlns:a16="http://schemas.microsoft.com/office/drawing/2014/main" pred="{5B92DE42-F55F-49AF-B5D8-0C85DF433108}"/>
            </a:ext>
          </a:extLst>
        </xdr:cNvPr>
        <xdr:cNvSpPr/>
      </xdr:nvSpPr>
      <xdr:spPr>
        <a:xfrm>
          <a:off x="714375" y="1190625"/>
          <a:ext cx="1743075" cy="4381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600" b="0" i="0" u="none" strike="noStrike">
              <a:solidFill>
                <a:schemeClr val="tx1"/>
              </a:solidFill>
              <a:latin typeface="+mn-lt"/>
              <a:ea typeface="+mn-lt"/>
              <a:cs typeface="+mn-lt"/>
            </a:rPr>
            <a:t>3033.14</a:t>
          </a:r>
        </a:p>
      </xdr:txBody>
    </xdr:sp>
    <xdr:clientData/>
  </xdr:twoCellAnchor>
  <xdr:twoCellAnchor>
    <xdr:from>
      <xdr:col>5</xdr:col>
      <xdr:colOff>361950</xdr:colOff>
      <xdr:row>3</xdr:row>
      <xdr:rowOff>161925</xdr:rowOff>
    </xdr:from>
    <xdr:to>
      <xdr:col>8</xdr:col>
      <xdr:colOff>276225</xdr:colOff>
      <xdr:row>6</xdr:row>
      <xdr:rowOff>28575</xdr:rowOff>
    </xdr:to>
    <xdr:sp macro="" textlink="">
      <xdr:nvSpPr>
        <xdr:cNvPr id="140" name="Rectangle 14">
          <a:extLst>
            <a:ext uri="{FF2B5EF4-FFF2-40B4-BE49-F238E27FC236}">
              <a16:creationId xmlns:a16="http://schemas.microsoft.com/office/drawing/2014/main" id="{22521B9A-081E-4AEA-9573-334A032B876E}"/>
            </a:ext>
            <a:ext uri="{147F2762-F138-4A5C-976F-8EAC2B608ADB}">
              <a16:predDERef xmlns:a16="http://schemas.microsoft.com/office/drawing/2014/main" pred="{A87850A8-4597-44F5-BFBE-86ED32D22816}"/>
            </a:ext>
          </a:extLst>
        </xdr:cNvPr>
        <xdr:cNvSpPr/>
      </xdr:nvSpPr>
      <xdr:spPr>
        <a:xfrm>
          <a:off x="3409950" y="733425"/>
          <a:ext cx="1743075"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600" b="0" i="0" u="none" strike="noStrike">
              <a:solidFill>
                <a:schemeClr val="lt1"/>
              </a:solidFill>
              <a:latin typeface="+mn-lt"/>
              <a:ea typeface="+mn-lt"/>
              <a:cs typeface="+mn-lt"/>
            </a:rPr>
            <a:t>P</a:t>
          </a:r>
          <a:r>
            <a:rPr lang="en-US" sz="1600" b="0" i="0" u="none" strike="noStrike">
              <a:solidFill>
                <a:schemeClr val="lt1"/>
              </a:solidFill>
              <a:latin typeface="Aptos Narrow" panose="020B0004020202020204" pitchFamily="34" charset="0"/>
            </a:rPr>
            <a:t>ay in (£)</a:t>
          </a:r>
          <a:endParaRPr lang="en-US" sz="1600" b="0" i="0" u="none" strike="noStrike">
            <a:solidFill>
              <a:schemeClr val="lt1"/>
            </a:solidFill>
            <a:latin typeface="+mn-lt"/>
            <a:ea typeface="+mn-lt"/>
            <a:cs typeface="+mn-lt"/>
          </a:endParaRPr>
        </a:p>
        <a:p>
          <a:pPr marL="0" indent="0" algn="l"/>
          <a:endParaRPr lang="en-US" sz="1600" b="0" i="0" u="none" strike="noStrike">
            <a:solidFill>
              <a:schemeClr val="lt1"/>
            </a:solidFill>
            <a:latin typeface="+mn-lt"/>
            <a:ea typeface="+mn-lt"/>
            <a:cs typeface="+mn-lt"/>
          </a:endParaRPr>
        </a:p>
      </xdr:txBody>
    </xdr:sp>
    <xdr:clientData/>
  </xdr:twoCellAnchor>
  <xdr:twoCellAnchor>
    <xdr:from>
      <xdr:col>5</xdr:col>
      <xdr:colOff>361950</xdr:colOff>
      <xdr:row>6</xdr:row>
      <xdr:rowOff>47625</xdr:rowOff>
    </xdr:from>
    <xdr:to>
      <xdr:col>8</xdr:col>
      <xdr:colOff>276225</xdr:colOff>
      <xdr:row>8</xdr:row>
      <xdr:rowOff>104775</xdr:rowOff>
    </xdr:to>
    <xdr:sp macro="" textlink="'Bank Statement'!I6">
      <xdr:nvSpPr>
        <xdr:cNvPr id="141" name="Rectangle 15">
          <a:extLst>
            <a:ext uri="{FF2B5EF4-FFF2-40B4-BE49-F238E27FC236}">
              <a16:creationId xmlns:a16="http://schemas.microsoft.com/office/drawing/2014/main" id="{86C2EBA4-8975-4CA3-A0E6-8DCF15133C40}"/>
            </a:ext>
            <a:ext uri="{147F2762-F138-4A5C-976F-8EAC2B608ADB}">
              <a16:predDERef xmlns:a16="http://schemas.microsoft.com/office/drawing/2014/main" pred="{22521B9A-081E-4AEA-9573-334A032B876E}"/>
            </a:ext>
          </a:extLst>
        </xdr:cNvPr>
        <xdr:cNvSpPr/>
      </xdr:nvSpPr>
      <xdr:spPr>
        <a:xfrm>
          <a:off x="3409950" y="1190625"/>
          <a:ext cx="1743075" cy="4381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fld id="{7540E20C-3A8A-4664-83CD-D866F430B38F}" type="TxLink">
            <a:rPr lang="en-US" sz="1600" b="0" i="0" u="none" strike="noStrike">
              <a:solidFill>
                <a:srgbClr val="000000"/>
              </a:solidFill>
              <a:latin typeface="Aptos Narrow"/>
              <a:ea typeface="+mn-lt"/>
              <a:cs typeface="+mn-lt"/>
            </a:rPr>
            <a:pPr marL="0" marR="0" indent="0" algn="l">
              <a:lnSpc>
                <a:spcPct val="100000"/>
              </a:lnSpc>
              <a:spcBef>
                <a:spcPts val="0"/>
              </a:spcBef>
              <a:spcAft>
                <a:spcPts val="0"/>
              </a:spcAft>
            </a:pPr>
            <a:t>10732.11</a:t>
          </a:fld>
          <a:endParaRPr lang="en-US" sz="1600" b="0" i="0" u="none" strike="noStrike">
            <a:solidFill>
              <a:schemeClr val="lt1"/>
            </a:solidFill>
            <a:latin typeface="+mn-lt"/>
            <a:ea typeface="+mn-lt"/>
            <a:cs typeface="+mn-lt"/>
          </a:endParaRPr>
        </a:p>
      </xdr:txBody>
    </xdr:sp>
    <xdr:clientData/>
  </xdr:twoCellAnchor>
  <xdr:twoCellAnchor>
    <xdr:from>
      <xdr:col>10</xdr:col>
      <xdr:colOff>9525</xdr:colOff>
      <xdr:row>3</xdr:row>
      <xdr:rowOff>161925</xdr:rowOff>
    </xdr:from>
    <xdr:to>
      <xdr:col>12</xdr:col>
      <xdr:colOff>533400</xdr:colOff>
      <xdr:row>6</xdr:row>
      <xdr:rowOff>28575</xdr:rowOff>
    </xdr:to>
    <xdr:sp macro="" textlink="">
      <xdr:nvSpPr>
        <xdr:cNvPr id="143" name="Rectangle 16">
          <a:extLst>
            <a:ext uri="{FF2B5EF4-FFF2-40B4-BE49-F238E27FC236}">
              <a16:creationId xmlns:a16="http://schemas.microsoft.com/office/drawing/2014/main" id="{7524461A-142E-43AA-B08F-82D699D212F1}"/>
            </a:ext>
            <a:ext uri="{147F2762-F138-4A5C-976F-8EAC2B608ADB}">
              <a16:predDERef xmlns:a16="http://schemas.microsoft.com/office/drawing/2014/main" pred="{86C2EBA4-8975-4CA3-A0E6-8DCF15133C40}"/>
            </a:ext>
          </a:extLst>
        </xdr:cNvPr>
        <xdr:cNvSpPr/>
      </xdr:nvSpPr>
      <xdr:spPr>
        <a:xfrm>
          <a:off x="6105525" y="733425"/>
          <a:ext cx="1743075"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600" b="0" i="0" u="none" strike="noStrike">
              <a:solidFill>
                <a:schemeClr val="lt1"/>
              </a:solidFill>
              <a:latin typeface="Aptos Narrow" panose="020B0004020202020204" pitchFamily="34" charset="0"/>
            </a:rPr>
            <a:t>Withdraw in (£)</a:t>
          </a:r>
          <a:endParaRPr lang="en-US" sz="1600" b="0" i="0" u="none" strike="noStrike">
            <a:solidFill>
              <a:schemeClr val="lt1"/>
            </a:solidFill>
            <a:latin typeface="+mn-lt"/>
            <a:ea typeface="+mn-lt"/>
            <a:cs typeface="+mn-lt"/>
          </a:endParaRPr>
        </a:p>
        <a:p>
          <a:pPr marL="0" indent="0" algn="l"/>
          <a:endParaRPr lang="en-US" sz="1600" b="0" i="0" u="none" strike="noStrike">
            <a:solidFill>
              <a:schemeClr val="lt1"/>
            </a:solidFill>
            <a:latin typeface="+mn-lt"/>
            <a:ea typeface="+mn-lt"/>
            <a:cs typeface="+mn-lt"/>
          </a:endParaRPr>
        </a:p>
      </xdr:txBody>
    </xdr:sp>
    <xdr:clientData/>
  </xdr:twoCellAnchor>
  <xdr:twoCellAnchor>
    <xdr:from>
      <xdr:col>10</xdr:col>
      <xdr:colOff>9525</xdr:colOff>
      <xdr:row>6</xdr:row>
      <xdr:rowOff>47625</xdr:rowOff>
    </xdr:from>
    <xdr:to>
      <xdr:col>12</xdr:col>
      <xdr:colOff>533400</xdr:colOff>
      <xdr:row>8</xdr:row>
      <xdr:rowOff>104775</xdr:rowOff>
    </xdr:to>
    <xdr:sp macro="" textlink="'Bank Statement'!I7">
      <xdr:nvSpPr>
        <xdr:cNvPr id="142" name="Rectangle 17">
          <a:extLst>
            <a:ext uri="{FF2B5EF4-FFF2-40B4-BE49-F238E27FC236}">
              <a16:creationId xmlns:a16="http://schemas.microsoft.com/office/drawing/2014/main" id="{DB4F70F4-0543-4506-862E-51FFC1059F79}"/>
            </a:ext>
            <a:ext uri="{147F2762-F138-4A5C-976F-8EAC2B608ADB}">
              <a16:predDERef xmlns:a16="http://schemas.microsoft.com/office/drawing/2014/main" pred="{7524461A-142E-43AA-B08F-82D699D212F1}"/>
            </a:ext>
          </a:extLst>
        </xdr:cNvPr>
        <xdr:cNvSpPr/>
      </xdr:nvSpPr>
      <xdr:spPr>
        <a:xfrm>
          <a:off x="6105525" y="1190625"/>
          <a:ext cx="1743075" cy="4381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fld id="{C34640F8-32F4-4E83-A21A-02907BB4CD4C}" type="TxLink">
            <a:rPr lang="en-US" sz="1600" b="0" i="0" u="none" strike="noStrike">
              <a:solidFill>
                <a:srgbClr val="000000"/>
              </a:solidFill>
              <a:latin typeface="Aptos Narrow"/>
              <a:ea typeface="+mn-lt"/>
              <a:cs typeface="+mn-lt"/>
            </a:rPr>
            <a:pPr marL="0" marR="0" indent="0" algn="l">
              <a:lnSpc>
                <a:spcPct val="100000"/>
              </a:lnSpc>
              <a:spcBef>
                <a:spcPts val="0"/>
              </a:spcBef>
              <a:spcAft>
                <a:spcPts val="0"/>
              </a:spcAft>
            </a:pPr>
            <a:t>4160.47</a:t>
          </a:fld>
          <a:endParaRPr lang="en-US" sz="1600" b="0" i="0" u="none" strike="noStrike">
            <a:solidFill>
              <a:schemeClr val="lt1"/>
            </a:solidFill>
            <a:latin typeface="+mn-lt"/>
            <a:ea typeface="+mn-lt"/>
            <a:cs typeface="+mn-lt"/>
          </a:endParaRPr>
        </a:p>
      </xdr:txBody>
    </xdr:sp>
    <xdr:clientData/>
  </xdr:twoCellAnchor>
  <xdr:twoCellAnchor>
    <xdr:from>
      <xdr:col>14</xdr:col>
      <xdr:colOff>219075</xdr:colOff>
      <xdr:row>3</xdr:row>
      <xdr:rowOff>161925</xdr:rowOff>
    </xdr:from>
    <xdr:to>
      <xdr:col>17</xdr:col>
      <xdr:colOff>133350</xdr:colOff>
      <xdr:row>6</xdr:row>
      <xdr:rowOff>28575</xdr:rowOff>
    </xdr:to>
    <xdr:sp macro="" textlink="">
      <xdr:nvSpPr>
        <xdr:cNvPr id="144" name="Rectangle 18">
          <a:extLst>
            <a:ext uri="{FF2B5EF4-FFF2-40B4-BE49-F238E27FC236}">
              <a16:creationId xmlns:a16="http://schemas.microsoft.com/office/drawing/2014/main" id="{92272DF7-3205-4CB7-9614-E606AC22A9AE}"/>
            </a:ext>
            <a:ext uri="{147F2762-F138-4A5C-976F-8EAC2B608ADB}">
              <a16:predDERef xmlns:a16="http://schemas.microsoft.com/office/drawing/2014/main" pred="{DB4F70F4-0543-4506-862E-51FFC1059F79}"/>
            </a:ext>
          </a:extLst>
        </xdr:cNvPr>
        <xdr:cNvSpPr/>
      </xdr:nvSpPr>
      <xdr:spPr>
        <a:xfrm>
          <a:off x="8753475" y="733425"/>
          <a:ext cx="1743075" cy="4381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r>
            <a:rPr lang="en-US" sz="1600" b="0" i="0" u="none" strike="noStrike">
              <a:solidFill>
                <a:schemeClr val="lt1"/>
              </a:solidFill>
              <a:latin typeface="Aptos Narrow" panose="020B0004020202020204" pitchFamily="34" charset="0"/>
            </a:rPr>
            <a:t>Total </a:t>
          </a:r>
          <a:r>
            <a:rPr lang="en-US" sz="1600" b="0" i="0" u="none" strike="noStrike">
              <a:solidFill>
                <a:schemeClr val="lt1"/>
              </a:solidFill>
              <a:latin typeface="+mn-lt"/>
              <a:ea typeface="+mn-lt"/>
              <a:cs typeface="+mn-lt"/>
            </a:rPr>
            <a:t>Balance</a:t>
          </a:r>
          <a:r>
            <a:rPr lang="en-US" sz="1600" b="0" i="0" u="none" strike="noStrike">
              <a:solidFill>
                <a:schemeClr val="lt1"/>
              </a:solidFill>
              <a:latin typeface="Aptos Narrow" panose="020B0004020202020204" pitchFamily="34" charset="0"/>
            </a:rPr>
            <a:t>  (£)</a:t>
          </a:r>
          <a:endParaRPr lang="en-US" sz="1600" b="0" i="0" u="none" strike="noStrike">
            <a:solidFill>
              <a:schemeClr val="lt1"/>
            </a:solidFill>
            <a:latin typeface="+mn-lt"/>
            <a:ea typeface="+mn-lt"/>
            <a:cs typeface="+mn-lt"/>
          </a:endParaRPr>
        </a:p>
        <a:p>
          <a:pPr marL="0" indent="0" algn="l"/>
          <a:endParaRPr lang="en-US" sz="1600" b="0" i="0" u="none" strike="noStrike">
            <a:solidFill>
              <a:schemeClr val="lt1"/>
            </a:solidFill>
            <a:latin typeface="+mn-lt"/>
            <a:ea typeface="+mn-lt"/>
            <a:cs typeface="+mn-lt"/>
          </a:endParaRPr>
        </a:p>
      </xdr:txBody>
    </xdr:sp>
    <xdr:clientData/>
  </xdr:twoCellAnchor>
  <xdr:twoCellAnchor>
    <xdr:from>
      <xdr:col>14</xdr:col>
      <xdr:colOff>228600</xdr:colOff>
      <xdr:row>6</xdr:row>
      <xdr:rowOff>28575</xdr:rowOff>
    </xdr:from>
    <xdr:to>
      <xdr:col>17</xdr:col>
      <xdr:colOff>142875</xdr:colOff>
      <xdr:row>8</xdr:row>
      <xdr:rowOff>85725</xdr:rowOff>
    </xdr:to>
    <xdr:sp macro="" textlink="'Bank Statement'!I8">
      <xdr:nvSpPr>
        <xdr:cNvPr id="243" name="Rectangle 19">
          <a:extLst>
            <a:ext uri="{FF2B5EF4-FFF2-40B4-BE49-F238E27FC236}">
              <a16:creationId xmlns:a16="http://schemas.microsoft.com/office/drawing/2014/main" id="{37BF0DF9-07F5-4CAA-BDCE-7B9AF46F2929}"/>
            </a:ext>
            <a:ext uri="{147F2762-F138-4A5C-976F-8EAC2B608ADB}">
              <a16:predDERef xmlns:a16="http://schemas.microsoft.com/office/drawing/2014/main" pred="{92272DF7-3205-4CB7-9614-E606AC22A9AE}"/>
            </a:ext>
          </a:extLst>
        </xdr:cNvPr>
        <xdr:cNvSpPr/>
      </xdr:nvSpPr>
      <xdr:spPr>
        <a:xfrm>
          <a:off x="8763000" y="1171575"/>
          <a:ext cx="1743075" cy="4381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l">
            <a:lnSpc>
              <a:spcPct val="100000"/>
            </a:lnSpc>
            <a:spcBef>
              <a:spcPts val="0"/>
            </a:spcBef>
            <a:spcAft>
              <a:spcPts val="0"/>
            </a:spcAft>
          </a:pPr>
          <a:fld id="{42AB4121-6BBA-4164-832F-01F362101927}" type="TxLink">
            <a:rPr lang="en-US" sz="1600" b="0" i="0" u="none" strike="noStrike">
              <a:solidFill>
                <a:srgbClr val="000000"/>
              </a:solidFill>
              <a:latin typeface="Aptos Narrow"/>
              <a:ea typeface="+mn-lt"/>
              <a:cs typeface="+mn-lt"/>
            </a:rPr>
            <a:pPr marL="0" marR="0" indent="0" algn="l">
              <a:lnSpc>
                <a:spcPct val="100000"/>
              </a:lnSpc>
              <a:spcBef>
                <a:spcPts val="0"/>
              </a:spcBef>
              <a:spcAft>
                <a:spcPts val="0"/>
              </a:spcAft>
            </a:pPr>
            <a:t>9604.78</a:t>
          </a:fld>
          <a:endParaRPr lang="en-US" sz="1600" b="0" i="0" u="none" strike="noStrike">
            <a:solidFill>
              <a:schemeClr val="lt1"/>
            </a:solidFill>
            <a:latin typeface="+mn-lt"/>
            <a:ea typeface="+mn-lt"/>
            <a:cs typeface="+mn-lt"/>
          </a:endParaRPr>
        </a:p>
      </xdr:txBody>
    </xdr:sp>
    <xdr:clientData/>
  </xdr:twoCellAnchor>
  <xdr:twoCellAnchor editAs="oneCell">
    <xdr:from>
      <xdr:col>13</xdr:col>
      <xdr:colOff>47625</xdr:colOff>
      <xdr:row>4</xdr:row>
      <xdr:rowOff>47625</xdr:rowOff>
    </xdr:from>
    <xdr:to>
      <xdr:col>14</xdr:col>
      <xdr:colOff>180975</xdr:colOff>
      <xdr:row>8</xdr:row>
      <xdr:rowOff>28575</xdr:rowOff>
    </xdr:to>
    <xdr:pic>
      <xdr:nvPicPr>
        <xdr:cNvPr id="249" name="Picture 44">
          <a:extLst>
            <a:ext uri="{FF2B5EF4-FFF2-40B4-BE49-F238E27FC236}">
              <a16:creationId xmlns:a16="http://schemas.microsoft.com/office/drawing/2014/main" id="{9208C365-6107-996E-61DE-E77944B98FBF}"/>
            </a:ext>
            <a:ext uri="{147F2762-F138-4A5C-976F-8EAC2B608ADB}">
              <a16:predDERef xmlns:a16="http://schemas.microsoft.com/office/drawing/2014/main" pred="{5E041A65-A09A-0CE6-E000-D2ED3A284595}"/>
            </a:ext>
          </a:extLst>
        </xdr:cNvPr>
        <xdr:cNvPicPr>
          <a:picLocks noChangeAspect="1"/>
        </xdr:cNvPicPr>
      </xdr:nvPicPr>
      <xdr:blipFill>
        <a:blip xmlns:r="http://schemas.openxmlformats.org/officeDocument/2006/relationships" r:embed="rId1"/>
        <a:stretch>
          <a:fillRect/>
        </a:stretch>
      </xdr:blipFill>
      <xdr:spPr>
        <a:xfrm flipH="1">
          <a:off x="7972425" y="809625"/>
          <a:ext cx="742950" cy="742950"/>
        </a:xfrm>
        <a:prstGeom prst="rect">
          <a:avLst/>
        </a:prstGeom>
      </xdr:spPr>
    </xdr:pic>
    <xdr:clientData/>
  </xdr:twoCellAnchor>
  <xdr:twoCellAnchor editAs="oneCell">
    <xdr:from>
      <xdr:col>4</xdr:col>
      <xdr:colOff>95250</xdr:colOff>
      <xdr:row>4</xdr:row>
      <xdr:rowOff>19050</xdr:rowOff>
    </xdr:from>
    <xdr:to>
      <xdr:col>5</xdr:col>
      <xdr:colOff>295275</xdr:colOff>
      <xdr:row>8</xdr:row>
      <xdr:rowOff>66675</xdr:rowOff>
    </xdr:to>
    <xdr:pic>
      <xdr:nvPicPr>
        <xdr:cNvPr id="240" name="Picture 45">
          <a:extLst>
            <a:ext uri="{FF2B5EF4-FFF2-40B4-BE49-F238E27FC236}">
              <a16:creationId xmlns:a16="http://schemas.microsoft.com/office/drawing/2014/main" id="{C80C1BE5-FF78-0E9A-63E8-CF9AC4CED097}"/>
            </a:ext>
            <a:ext uri="{147F2762-F138-4A5C-976F-8EAC2B608ADB}">
              <a16:predDERef xmlns:a16="http://schemas.microsoft.com/office/drawing/2014/main" pred="{9208C365-6107-996E-61DE-E77944B98FBF}"/>
            </a:ext>
          </a:extLst>
        </xdr:cNvPr>
        <xdr:cNvPicPr>
          <a:picLocks noChangeAspect="1"/>
        </xdr:cNvPicPr>
      </xdr:nvPicPr>
      <xdr:blipFill>
        <a:blip xmlns:r="http://schemas.openxmlformats.org/officeDocument/2006/relationships" r:embed="rId2"/>
        <a:stretch>
          <a:fillRect/>
        </a:stretch>
      </xdr:blipFill>
      <xdr:spPr>
        <a:xfrm>
          <a:off x="2533650" y="781050"/>
          <a:ext cx="809625" cy="809625"/>
        </a:xfrm>
        <a:prstGeom prst="rect">
          <a:avLst/>
        </a:prstGeom>
      </xdr:spPr>
    </xdr:pic>
    <xdr:clientData/>
  </xdr:twoCellAnchor>
  <xdr:twoCellAnchor editAs="oneCell">
    <xdr:from>
      <xdr:col>8</xdr:col>
      <xdr:colOff>428625</xdr:colOff>
      <xdr:row>4</xdr:row>
      <xdr:rowOff>66675</xdr:rowOff>
    </xdr:from>
    <xdr:to>
      <xdr:col>9</xdr:col>
      <xdr:colOff>533400</xdr:colOff>
      <xdr:row>8</xdr:row>
      <xdr:rowOff>19050</xdr:rowOff>
    </xdr:to>
    <xdr:pic>
      <xdr:nvPicPr>
        <xdr:cNvPr id="248" name="Picture 46">
          <a:extLst>
            <a:ext uri="{FF2B5EF4-FFF2-40B4-BE49-F238E27FC236}">
              <a16:creationId xmlns:a16="http://schemas.microsoft.com/office/drawing/2014/main" id="{12DABC10-A167-2112-24B4-38321FB09D50}"/>
            </a:ext>
            <a:ext uri="{147F2762-F138-4A5C-976F-8EAC2B608ADB}">
              <a16:predDERef xmlns:a16="http://schemas.microsoft.com/office/drawing/2014/main" pred="{C80C1BE5-FF78-0E9A-63E8-CF9AC4CED097}"/>
            </a:ext>
          </a:extLst>
        </xdr:cNvPr>
        <xdr:cNvPicPr>
          <a:picLocks noChangeAspect="1"/>
        </xdr:cNvPicPr>
      </xdr:nvPicPr>
      <xdr:blipFill>
        <a:blip xmlns:r="http://schemas.openxmlformats.org/officeDocument/2006/relationships" r:embed="rId3"/>
        <a:stretch>
          <a:fillRect/>
        </a:stretch>
      </xdr:blipFill>
      <xdr:spPr>
        <a:xfrm>
          <a:off x="5305425" y="828675"/>
          <a:ext cx="714375" cy="714375"/>
        </a:xfrm>
        <a:prstGeom prst="rect">
          <a:avLst/>
        </a:prstGeom>
      </xdr:spPr>
    </xdr:pic>
    <xdr:clientData/>
  </xdr:twoCellAnchor>
  <xdr:twoCellAnchor editAs="oneCell">
    <xdr:from>
      <xdr:col>0</xdr:col>
      <xdr:colOff>9525</xdr:colOff>
      <xdr:row>4</xdr:row>
      <xdr:rowOff>47625</xdr:rowOff>
    </xdr:from>
    <xdr:to>
      <xdr:col>1</xdr:col>
      <xdr:colOff>85725</xdr:colOff>
      <xdr:row>7</xdr:row>
      <xdr:rowOff>161925</xdr:rowOff>
    </xdr:to>
    <xdr:pic>
      <xdr:nvPicPr>
        <xdr:cNvPr id="251" name="Picture 44">
          <a:extLst>
            <a:ext uri="{FF2B5EF4-FFF2-40B4-BE49-F238E27FC236}">
              <a16:creationId xmlns:a16="http://schemas.microsoft.com/office/drawing/2014/main" id="{5B85CA87-FD95-4067-A2B8-87DB962BE773}"/>
            </a:ext>
            <a:ext uri="{147F2762-F138-4A5C-976F-8EAC2B608ADB}">
              <a16:predDERef xmlns:a16="http://schemas.microsoft.com/office/drawing/2014/main" pred="{5E041A65-A09A-0CE6-E000-D2ED3A284595}"/>
            </a:ext>
          </a:extLst>
        </xdr:cNvPr>
        <xdr:cNvPicPr>
          <a:picLocks noChangeAspect="1"/>
        </xdr:cNvPicPr>
      </xdr:nvPicPr>
      <xdr:blipFill>
        <a:blip xmlns:r="http://schemas.openxmlformats.org/officeDocument/2006/relationships" r:embed="rId1"/>
        <a:stretch>
          <a:fillRect/>
        </a:stretch>
      </xdr:blipFill>
      <xdr:spPr>
        <a:xfrm flipH="1">
          <a:off x="9525" y="809625"/>
          <a:ext cx="685800" cy="685800"/>
        </a:xfrm>
        <a:prstGeom prst="rect">
          <a:avLst/>
        </a:prstGeom>
      </xdr:spPr>
    </xdr:pic>
    <xdr:clientData/>
  </xdr:twoCellAnchor>
  <xdr:twoCellAnchor>
    <xdr:from>
      <xdr:col>5</xdr:col>
      <xdr:colOff>304800</xdr:colOff>
      <xdr:row>0</xdr:row>
      <xdr:rowOff>142875</xdr:rowOff>
    </xdr:from>
    <xdr:to>
      <xdr:col>17</xdr:col>
      <xdr:colOff>285750</xdr:colOff>
      <xdr:row>2</xdr:row>
      <xdr:rowOff>123825</xdr:rowOff>
    </xdr:to>
    <xdr:sp macro="" textlink="">
      <xdr:nvSpPr>
        <xdr:cNvPr id="23" name="TextBox 8">
          <a:extLst>
            <a:ext uri="{FF2B5EF4-FFF2-40B4-BE49-F238E27FC236}">
              <a16:creationId xmlns:a16="http://schemas.microsoft.com/office/drawing/2014/main" id="{920EBC4B-9526-E188-E47F-93131F388331}"/>
            </a:ext>
            <a:ext uri="{147F2762-F138-4A5C-976F-8EAC2B608ADB}">
              <a16:predDERef xmlns:a16="http://schemas.microsoft.com/office/drawing/2014/main" pred="{5B85CA87-FD95-4067-A2B8-87DB962BE773}"/>
            </a:ext>
          </a:extLst>
        </xdr:cNvPr>
        <xdr:cNvSpPr txBox="1"/>
      </xdr:nvSpPr>
      <xdr:spPr>
        <a:xfrm>
          <a:off x="3352800" y="142875"/>
          <a:ext cx="7296150" cy="361950"/>
        </a:xfrm>
        <a:prstGeom prst="rect">
          <a:avLst/>
        </a:prstGeom>
        <a:solidFill>
          <a:schemeClr val="accent4">
            <a:lumMod val="60000"/>
            <a:lumOff val="40000"/>
          </a:schemeClr>
        </a:solidFill>
        <a:ln w="9525" cmpd="sng">
          <a:noFill/>
        </a:ln>
      </xdr:spPr>
      <xdr:txBody>
        <a:bodyPr spcFirstLastPara="0" vertOverflow="clip" horzOverflow="clip" wrap="square" lIns="91440" tIns="45720" rIns="91440" bIns="45720" rtlCol="0" anchor="t">
          <a:noAutofit/>
        </a:bodyPr>
        <a:lstStyle/>
        <a:p>
          <a:pPr marL="0" indent="0" algn="ctr"/>
          <a:r>
            <a:rPr lang="en-US" sz="2600" b="1" i="0" u="sng" strike="noStrike">
              <a:solidFill>
                <a:srgbClr val="FF0000"/>
              </a:solidFill>
              <a:latin typeface="Aptos Narrow" panose="020B0004020202020204" pitchFamily="34" charset="0"/>
            </a:rPr>
            <a:t>Bank </a:t>
          </a:r>
          <a:r>
            <a:rPr lang="en-US" sz="2600" b="1" u="sng">
              <a:solidFill>
                <a:srgbClr val="FF0000"/>
              </a:solidFill>
              <a:latin typeface="+mn-lt"/>
              <a:ea typeface="+mn-lt"/>
              <a:cs typeface="+mn-lt"/>
            </a:rPr>
            <a:t>Account Statement</a:t>
          </a:r>
          <a:r>
            <a:rPr lang="en-US" sz="2600" b="1">
              <a:solidFill>
                <a:srgbClr val="FF0000"/>
              </a:solidFill>
              <a:latin typeface="+mn-lt"/>
              <a:ea typeface="+mn-lt"/>
              <a:cs typeface="+mn-lt"/>
            </a:rPr>
            <a:t> </a:t>
          </a:r>
        </a:p>
      </xdr:txBody>
    </xdr:sp>
    <xdr:clientData/>
  </xdr:twoCellAnchor>
  <xdr:twoCellAnchor>
    <xdr:from>
      <xdr:col>7</xdr:col>
      <xdr:colOff>35412</xdr:colOff>
      <xdr:row>0</xdr:row>
      <xdr:rowOff>19050</xdr:rowOff>
    </xdr:from>
    <xdr:to>
      <xdr:col>8</xdr:col>
      <xdr:colOff>205398</xdr:colOff>
      <xdr:row>3</xdr:row>
      <xdr:rowOff>114300</xdr:rowOff>
    </xdr:to>
    <xdr:sp macro="" textlink="">
      <xdr:nvSpPr>
        <xdr:cNvPr id="26" name="Oval 24">
          <a:extLst>
            <a:ext uri="{FF2B5EF4-FFF2-40B4-BE49-F238E27FC236}">
              <a16:creationId xmlns:a16="http://schemas.microsoft.com/office/drawing/2014/main" id="{E57D8A40-AD1A-ACB5-4496-F011E76D2C79}"/>
            </a:ext>
            <a:ext uri="{147F2762-F138-4A5C-976F-8EAC2B608ADB}">
              <a16:predDERef xmlns:a16="http://schemas.microsoft.com/office/drawing/2014/main" pred="{920EBC4B-9526-E188-E47F-93131F388331}"/>
            </a:ext>
          </a:extLst>
        </xdr:cNvPr>
        <xdr:cNvSpPr/>
      </xdr:nvSpPr>
      <xdr:spPr>
        <a:xfrm>
          <a:off x="4302612" y="19050"/>
          <a:ext cx="779586" cy="6667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editAs="oneCell">
    <xdr:from>
      <xdr:col>7</xdr:col>
      <xdr:colOff>169983</xdr:colOff>
      <xdr:row>0</xdr:row>
      <xdr:rowOff>76200</xdr:rowOff>
    </xdr:from>
    <xdr:to>
      <xdr:col>7</xdr:col>
      <xdr:colOff>604958</xdr:colOff>
      <xdr:row>2</xdr:row>
      <xdr:rowOff>152644</xdr:rowOff>
    </xdr:to>
    <xdr:pic>
      <xdr:nvPicPr>
        <xdr:cNvPr id="27" name="Picture 25">
          <a:extLst>
            <a:ext uri="{FF2B5EF4-FFF2-40B4-BE49-F238E27FC236}">
              <a16:creationId xmlns:a16="http://schemas.microsoft.com/office/drawing/2014/main" id="{74B5640E-0B82-556E-C755-7655760E9A03}"/>
            </a:ext>
            <a:ext uri="{147F2762-F138-4A5C-976F-8EAC2B608ADB}">
              <a16:predDERef xmlns:a16="http://schemas.microsoft.com/office/drawing/2014/main" pred="{E57D8A40-AD1A-ACB5-4496-F011E76D2C79}"/>
            </a:ext>
          </a:extLst>
        </xdr:cNvPr>
        <xdr:cNvPicPr>
          <a:picLocks noChangeAspect="1"/>
        </xdr:cNvPicPr>
      </xdr:nvPicPr>
      <xdr:blipFill>
        <a:blip xmlns:r="http://schemas.openxmlformats.org/officeDocument/2006/relationships" r:embed="rId4"/>
        <a:stretch>
          <a:fillRect/>
        </a:stretch>
      </xdr:blipFill>
      <xdr:spPr>
        <a:xfrm>
          <a:off x="4437183" y="76200"/>
          <a:ext cx="434975" cy="457444"/>
        </a:xfrm>
        <a:prstGeom prst="rect">
          <a:avLst/>
        </a:prstGeom>
      </xdr:spPr>
    </xdr:pic>
    <xdr:clientData/>
  </xdr:twoCellAnchor>
  <xdr:twoCellAnchor>
    <xdr:from>
      <xdr:col>0</xdr:col>
      <xdr:colOff>0</xdr:colOff>
      <xdr:row>8</xdr:row>
      <xdr:rowOff>133350</xdr:rowOff>
    </xdr:from>
    <xdr:to>
      <xdr:col>10</xdr:col>
      <xdr:colOff>371475</xdr:colOff>
      <xdr:row>27</xdr:row>
      <xdr:rowOff>114300</xdr:rowOff>
    </xdr:to>
    <xdr:sp macro="" textlink="">
      <xdr:nvSpPr>
        <xdr:cNvPr id="135" name="Rounded Rectangle 27">
          <a:extLst>
            <a:ext uri="{FF2B5EF4-FFF2-40B4-BE49-F238E27FC236}">
              <a16:creationId xmlns:a16="http://schemas.microsoft.com/office/drawing/2014/main" id="{319EF51F-CA6F-29C5-9FD7-91D9AD7D3C22}"/>
            </a:ext>
            <a:ext uri="{147F2762-F138-4A5C-976F-8EAC2B608ADB}">
              <a16:predDERef xmlns:a16="http://schemas.microsoft.com/office/drawing/2014/main" pred="{74B5640E-0B82-556E-C755-7655760E9A03}"/>
            </a:ext>
          </a:extLst>
        </xdr:cNvPr>
        <xdr:cNvSpPr/>
      </xdr:nvSpPr>
      <xdr:spPr>
        <a:xfrm>
          <a:off x="0" y="1657350"/>
          <a:ext cx="6467475" cy="36004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10</xdr:col>
      <xdr:colOff>438150</xdr:colOff>
      <xdr:row>8</xdr:row>
      <xdr:rowOff>161925</xdr:rowOff>
    </xdr:from>
    <xdr:to>
      <xdr:col>20</xdr:col>
      <xdr:colOff>95250</xdr:colOff>
      <xdr:row>27</xdr:row>
      <xdr:rowOff>133350</xdr:rowOff>
    </xdr:to>
    <xdr:sp macro="" textlink="">
      <xdr:nvSpPr>
        <xdr:cNvPr id="139" name="Rounded Rectangle 28">
          <a:extLst>
            <a:ext uri="{FF2B5EF4-FFF2-40B4-BE49-F238E27FC236}">
              <a16:creationId xmlns:a16="http://schemas.microsoft.com/office/drawing/2014/main" id="{A96CEB41-3F61-450D-851D-061C01E909DA}"/>
            </a:ext>
            <a:ext uri="{147F2762-F138-4A5C-976F-8EAC2B608ADB}">
              <a16:predDERef xmlns:a16="http://schemas.microsoft.com/office/drawing/2014/main" pred="{319EF51F-CA6F-29C5-9FD7-91D9AD7D3C22}"/>
            </a:ext>
          </a:extLst>
        </xdr:cNvPr>
        <xdr:cNvSpPr/>
      </xdr:nvSpPr>
      <xdr:spPr>
        <a:xfrm>
          <a:off x="6534150" y="1685925"/>
          <a:ext cx="5753100" cy="35909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10</xdr:col>
      <xdr:colOff>390525</xdr:colOff>
      <xdr:row>27</xdr:row>
      <xdr:rowOff>104775</xdr:rowOff>
    </xdr:from>
    <xdr:to>
      <xdr:col>20</xdr:col>
      <xdr:colOff>76200</xdr:colOff>
      <xdr:row>48</xdr:row>
      <xdr:rowOff>38100</xdr:rowOff>
    </xdr:to>
    <xdr:sp macro="" textlink="">
      <xdr:nvSpPr>
        <xdr:cNvPr id="151" name="Rounded Rectangle 2">
          <a:extLst>
            <a:ext uri="{FF2B5EF4-FFF2-40B4-BE49-F238E27FC236}">
              <a16:creationId xmlns:a16="http://schemas.microsoft.com/office/drawing/2014/main" id="{81B6C6BE-DE9E-413A-A240-7C3647429E70}"/>
            </a:ext>
            <a:ext uri="{147F2762-F138-4A5C-976F-8EAC2B608ADB}">
              <a16:predDERef xmlns:a16="http://schemas.microsoft.com/office/drawing/2014/main" pred="{A96CEB41-3F61-450D-851D-061C01E909DA}"/>
            </a:ext>
          </a:extLst>
        </xdr:cNvPr>
        <xdr:cNvSpPr/>
      </xdr:nvSpPr>
      <xdr:spPr>
        <a:xfrm>
          <a:off x="6486525" y="5248275"/>
          <a:ext cx="5781675" cy="39338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57150</xdr:colOff>
      <xdr:row>27</xdr:row>
      <xdr:rowOff>161925</xdr:rowOff>
    </xdr:from>
    <xdr:to>
      <xdr:col>10</xdr:col>
      <xdr:colOff>314325</xdr:colOff>
      <xdr:row>48</xdr:row>
      <xdr:rowOff>9525</xdr:rowOff>
    </xdr:to>
    <xdr:sp macro="" textlink="">
      <xdr:nvSpPr>
        <xdr:cNvPr id="149" name="Rounded Rectangle 3">
          <a:extLst>
            <a:ext uri="{FF2B5EF4-FFF2-40B4-BE49-F238E27FC236}">
              <a16:creationId xmlns:a16="http://schemas.microsoft.com/office/drawing/2014/main" id="{C4D47544-6DF1-437A-8721-8A79375923E6}"/>
            </a:ext>
            <a:ext uri="{147F2762-F138-4A5C-976F-8EAC2B608ADB}">
              <a16:predDERef xmlns:a16="http://schemas.microsoft.com/office/drawing/2014/main" pred="{81B6C6BE-DE9E-413A-A240-7C3647429E70}"/>
            </a:ext>
          </a:extLst>
        </xdr:cNvPr>
        <xdr:cNvSpPr/>
      </xdr:nvSpPr>
      <xdr:spPr>
        <a:xfrm>
          <a:off x="57150" y="5305425"/>
          <a:ext cx="6353175" cy="38481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editAs="oneCell">
    <xdr:from>
      <xdr:col>20</xdr:col>
      <xdr:colOff>152400</xdr:colOff>
      <xdr:row>10</xdr:row>
      <xdr:rowOff>133350</xdr:rowOff>
    </xdr:from>
    <xdr:to>
      <xdr:col>22</xdr:col>
      <xdr:colOff>266700</xdr:colOff>
      <xdr:row>22</xdr:row>
      <xdr:rowOff>142875</xdr:rowOff>
    </xdr:to>
    <mc:AlternateContent xmlns:mc="http://schemas.openxmlformats.org/markup-compatibility/2006" xmlns:a14="http://schemas.microsoft.com/office/drawing/2010/main">
      <mc:Choice Requires="a14">
        <xdr:graphicFrame macro="">
          <xdr:nvGraphicFramePr>
            <xdr:cNvPr id="167" name="Withdraw in (£) 3">
              <a:extLst>
                <a:ext uri="{FF2B5EF4-FFF2-40B4-BE49-F238E27FC236}">
                  <a16:creationId xmlns:a16="http://schemas.microsoft.com/office/drawing/2014/main" id="{B2AFABFF-AC53-40E2-9B69-745A22E51258}"/>
                </a:ext>
                <a:ext uri="{147F2762-F138-4A5C-976F-8EAC2B608ADB}">
                  <a16:predDERef xmlns:a16="http://schemas.microsoft.com/office/drawing/2014/main" pred="{C4D47544-6DF1-437A-8721-8A79375923E6}"/>
                </a:ext>
              </a:extLst>
            </xdr:cNvPr>
            <xdr:cNvGraphicFramePr/>
          </xdr:nvGraphicFramePr>
          <xdr:xfrm>
            <a:off x="0" y="0"/>
            <a:ext cx="0" cy="0"/>
          </xdr:xfrm>
          <a:graphic>
            <a:graphicData uri="http://schemas.microsoft.com/office/drawing/2010/slicer">
              <sle:slicer xmlns:sle="http://schemas.microsoft.com/office/drawing/2010/slicer" name="Withdraw in (£) 3"/>
            </a:graphicData>
          </a:graphic>
        </xdr:graphicFrame>
      </mc:Choice>
      <mc:Fallback xmlns="">
        <xdr:sp macro="" textlink="">
          <xdr:nvSpPr>
            <xdr:cNvPr id="0" name=""/>
            <xdr:cNvSpPr>
              <a:spLocks noTextEdit="1"/>
            </xdr:cNvSpPr>
          </xdr:nvSpPr>
          <xdr:spPr>
            <a:xfrm>
              <a:off x="48846" y="3942736"/>
              <a:ext cx="1331874" cy="2492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217120</xdr:colOff>
      <xdr:row>3</xdr:row>
      <xdr:rowOff>136036</xdr:rowOff>
    </xdr:from>
    <xdr:to>
      <xdr:col>20</xdr:col>
      <xdr:colOff>85724</xdr:colOff>
      <xdr:row>8</xdr:row>
      <xdr:rowOff>122115</xdr:rowOff>
    </xdr:to>
    <mc:AlternateContent xmlns:mc="http://schemas.openxmlformats.org/markup-compatibility/2006" xmlns:a14="http://schemas.microsoft.com/office/drawing/2010/main">
      <mc:Choice Requires="a14">
        <xdr:graphicFrame macro="">
          <xdr:nvGraphicFramePr>
            <xdr:cNvPr id="34" name="Month 3">
              <a:extLst>
                <a:ext uri="{FF2B5EF4-FFF2-40B4-BE49-F238E27FC236}">
                  <a16:creationId xmlns:a16="http://schemas.microsoft.com/office/drawing/2014/main" id="{62927C04-0C85-4262-9732-EBA2F0EC907F}"/>
                </a:ext>
                <a:ext uri="{147F2762-F138-4A5C-976F-8EAC2B608ADB}">
                  <a16:predDERef xmlns:a16="http://schemas.microsoft.com/office/drawing/2014/main" pred="{B2AFABFF-AC53-40E2-9B69-745A22E51258}"/>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0596928" y="722190"/>
              <a:ext cx="1697404" cy="938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114300</xdr:colOff>
      <xdr:row>22</xdr:row>
      <xdr:rowOff>142875</xdr:rowOff>
    </xdr:from>
    <xdr:to>
      <xdr:col>22</xdr:col>
      <xdr:colOff>295275</xdr:colOff>
      <xdr:row>34</xdr:row>
      <xdr:rowOff>66675</xdr:rowOff>
    </xdr:to>
    <mc:AlternateContent xmlns:mc="http://schemas.openxmlformats.org/markup-compatibility/2006" xmlns:a14="http://schemas.microsoft.com/office/drawing/2010/main">
      <mc:Choice Requires="a14">
        <xdr:graphicFrame macro="">
          <xdr:nvGraphicFramePr>
            <xdr:cNvPr id="32" name="Category 1">
              <a:extLst>
                <a:ext uri="{FF2B5EF4-FFF2-40B4-BE49-F238E27FC236}">
                  <a16:creationId xmlns:a16="http://schemas.microsoft.com/office/drawing/2014/main" id="{8A1C9F7E-B371-4CF7-9A2A-EDBDBCDFA08B}"/>
                </a:ext>
                <a:ext uri="{147F2762-F138-4A5C-976F-8EAC2B608ADB}">
                  <a16:predDERef xmlns:a16="http://schemas.microsoft.com/office/drawing/2014/main" pred="{62927C04-0C85-4262-9732-EBA2F0EC907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1703265"/>
              <a:ext cx="12284808" cy="726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3</xdr:row>
      <xdr:rowOff>152400</xdr:rowOff>
    </xdr:from>
    <xdr:to>
      <xdr:col>22</xdr:col>
      <xdr:colOff>276225</xdr:colOff>
      <xdr:row>10</xdr:row>
      <xdr:rowOff>123825</xdr:rowOff>
    </xdr:to>
    <mc:AlternateContent xmlns:mc="http://schemas.openxmlformats.org/markup-compatibility/2006" xmlns:a14="http://schemas.microsoft.com/office/drawing/2010/main">
      <mc:Choice Requires="a14">
        <xdr:graphicFrame macro="">
          <xdr:nvGraphicFramePr>
            <xdr:cNvPr id="37" name="Pay in (£) 4">
              <a:extLst>
                <a:ext uri="{FF2B5EF4-FFF2-40B4-BE49-F238E27FC236}">
                  <a16:creationId xmlns:a16="http://schemas.microsoft.com/office/drawing/2014/main" id="{8A993F85-F92D-4FF1-97C8-277117D7C31D}"/>
                </a:ext>
                <a:ext uri="{147F2762-F138-4A5C-976F-8EAC2B608ADB}">
                  <a16:predDERef xmlns:a16="http://schemas.microsoft.com/office/drawing/2014/main" pred="{8A1C9F7E-B371-4CF7-9A2A-EDBDBCDFA08B}"/>
                </a:ext>
              </a:extLst>
            </xdr:cNvPr>
            <xdr:cNvGraphicFramePr/>
          </xdr:nvGraphicFramePr>
          <xdr:xfrm>
            <a:off x="0" y="0"/>
            <a:ext cx="0" cy="0"/>
          </xdr:xfrm>
          <a:graphic>
            <a:graphicData uri="http://schemas.microsoft.com/office/drawing/2010/slicer">
              <sle:slicer xmlns:sle="http://schemas.microsoft.com/office/drawing/2010/slicer" name="Pay in (£) 4"/>
            </a:graphicData>
          </a:graphic>
        </xdr:graphicFrame>
      </mc:Choice>
      <mc:Fallback xmlns="">
        <xdr:sp macro="" textlink="">
          <xdr:nvSpPr>
            <xdr:cNvPr id="0" name=""/>
            <xdr:cNvSpPr>
              <a:spLocks noTextEdit="1"/>
            </xdr:cNvSpPr>
          </xdr:nvSpPr>
          <xdr:spPr>
            <a:xfrm>
              <a:off x="48846" y="2478944"/>
              <a:ext cx="1344979" cy="1624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95250</xdr:colOff>
      <xdr:row>34</xdr:row>
      <xdr:rowOff>47625</xdr:rowOff>
    </xdr:from>
    <xdr:to>
      <xdr:col>22</xdr:col>
      <xdr:colOff>295275</xdr:colOff>
      <xdr:row>47</xdr:row>
      <xdr:rowOff>133350</xdr:rowOff>
    </xdr:to>
    <mc:AlternateContent xmlns:mc="http://schemas.openxmlformats.org/markup-compatibility/2006" xmlns:a14="http://schemas.microsoft.com/office/drawing/2010/main">
      <mc:Choice Requires="a14">
        <xdr:graphicFrame macro="">
          <xdr:nvGraphicFramePr>
            <xdr:cNvPr id="169" name="Balance (£) 2">
              <a:extLst>
                <a:ext uri="{FF2B5EF4-FFF2-40B4-BE49-F238E27FC236}">
                  <a16:creationId xmlns:a16="http://schemas.microsoft.com/office/drawing/2014/main" id="{07B74DA6-828F-4A35-A459-306BB4ED5A39}"/>
                </a:ext>
                <a:ext uri="{147F2762-F138-4A5C-976F-8EAC2B608ADB}">
                  <a16:predDERef xmlns:a16="http://schemas.microsoft.com/office/drawing/2014/main" pred="{8A993F85-F92D-4FF1-97C8-277117D7C31D}"/>
                </a:ext>
              </a:extLst>
            </xdr:cNvPr>
            <xdr:cNvGraphicFramePr/>
          </xdr:nvGraphicFramePr>
          <xdr:xfrm>
            <a:off x="0" y="0"/>
            <a:ext cx="0" cy="0"/>
          </xdr:xfrm>
          <a:graphic>
            <a:graphicData uri="http://schemas.microsoft.com/office/drawing/2010/slicer">
              <sle:slicer xmlns:sle="http://schemas.microsoft.com/office/drawing/2010/slicer" name="Balance (£) 2"/>
            </a:graphicData>
          </a:graphic>
        </xdr:graphicFrame>
      </mc:Choice>
      <mc:Fallback xmlns="">
        <xdr:sp macro="" textlink="">
          <xdr:nvSpPr>
            <xdr:cNvPr id="0" name=""/>
            <xdr:cNvSpPr>
              <a:spLocks noTextEdit="1"/>
            </xdr:cNvSpPr>
          </xdr:nvSpPr>
          <xdr:spPr>
            <a:xfrm>
              <a:off x="0" y="4937613"/>
              <a:ext cx="1668829" cy="3026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209550</xdr:colOff>
      <xdr:row>9</xdr:row>
      <xdr:rowOff>66675</xdr:rowOff>
    </xdr:from>
    <xdr:to>
      <xdr:col>19</xdr:col>
      <xdr:colOff>428625</xdr:colOff>
      <xdr:row>26</xdr:row>
      <xdr:rowOff>152400</xdr:rowOff>
    </xdr:to>
    <xdr:graphicFrame macro="">
      <xdr:nvGraphicFramePr>
        <xdr:cNvPr id="173" name="Chart 13">
          <a:extLst>
            <a:ext uri="{FF2B5EF4-FFF2-40B4-BE49-F238E27FC236}">
              <a16:creationId xmlns:a16="http://schemas.microsoft.com/office/drawing/2014/main" id="{D40C403A-C4D5-46DD-9066-F56F4E6AC13C}"/>
            </a:ext>
            <a:ext uri="{147F2762-F138-4A5C-976F-8EAC2B608ADB}">
              <a16:predDERef xmlns:a16="http://schemas.microsoft.com/office/drawing/2014/main" pred="{07B74DA6-828F-4A35-A459-306BB4ED5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342900</xdr:colOff>
      <xdr:row>28</xdr:row>
      <xdr:rowOff>152400</xdr:rowOff>
    </xdr:from>
    <xdr:to>
      <xdr:col>10</xdr:col>
      <xdr:colOff>76200</xdr:colOff>
      <xdr:row>47</xdr:row>
      <xdr:rowOff>76200</xdr:rowOff>
    </xdr:to>
    <xdr:graphicFrame macro="">
      <xdr:nvGraphicFramePr>
        <xdr:cNvPr id="148" name="Chart 15">
          <a:extLst>
            <a:ext uri="{FF2B5EF4-FFF2-40B4-BE49-F238E27FC236}">
              <a16:creationId xmlns:a16="http://schemas.microsoft.com/office/drawing/2014/main" id="{B1068DAD-550B-4413-A2E9-861C61DF5559}"/>
            </a:ext>
            <a:ext uri="{147F2762-F138-4A5C-976F-8EAC2B608ADB}">
              <a16:predDERef xmlns:a16="http://schemas.microsoft.com/office/drawing/2014/main" pred="{D40C403A-C4D5-46DD-9066-F56F4E6AC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542925</xdr:colOff>
      <xdr:row>28</xdr:row>
      <xdr:rowOff>161925</xdr:rowOff>
    </xdr:from>
    <xdr:to>
      <xdr:col>19</xdr:col>
      <xdr:colOff>504825</xdr:colOff>
      <xdr:row>46</xdr:row>
      <xdr:rowOff>180975</xdr:rowOff>
    </xdr:to>
    <xdr:graphicFrame macro="">
      <xdr:nvGraphicFramePr>
        <xdr:cNvPr id="164" name="Chart 16">
          <a:extLst>
            <a:ext uri="{FF2B5EF4-FFF2-40B4-BE49-F238E27FC236}">
              <a16:creationId xmlns:a16="http://schemas.microsoft.com/office/drawing/2014/main" id="{7D6A5482-EC23-4F86-A797-760977C86C04}"/>
            </a:ext>
            <a:ext uri="{147F2762-F138-4A5C-976F-8EAC2B608ADB}">
              <a16:predDERef xmlns:a16="http://schemas.microsoft.com/office/drawing/2014/main" pred="{B1068DAD-550B-4413-A2E9-861C61DF5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304800</xdr:colOff>
      <xdr:row>9</xdr:row>
      <xdr:rowOff>57150</xdr:rowOff>
    </xdr:from>
    <xdr:to>
      <xdr:col>10</xdr:col>
      <xdr:colOff>76200</xdr:colOff>
      <xdr:row>26</xdr:row>
      <xdr:rowOff>133350</xdr:rowOff>
    </xdr:to>
    <xdr:graphicFrame macro="">
      <xdr:nvGraphicFramePr>
        <xdr:cNvPr id="158" name="Chart 17">
          <a:extLst>
            <a:ext uri="{FF2B5EF4-FFF2-40B4-BE49-F238E27FC236}">
              <a16:creationId xmlns:a16="http://schemas.microsoft.com/office/drawing/2014/main" id="{3008CBDC-4FBE-40B9-9726-C126E4290C80}"/>
            </a:ext>
            <a:ext uri="{147F2762-F138-4A5C-976F-8EAC2B608ADB}">
              <a16:predDERef xmlns:a16="http://schemas.microsoft.com/office/drawing/2014/main" pred="{7D6A5482-EC23-4F86-A797-760977C86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590550</xdr:colOff>
      <xdr:row>0</xdr:row>
      <xdr:rowOff>9525</xdr:rowOff>
    </xdr:from>
    <xdr:to>
      <xdr:col>26</xdr:col>
      <xdr:colOff>285750</xdr:colOff>
      <xdr:row>14</xdr:row>
      <xdr:rowOff>85725</xdr:rowOff>
    </xdr:to>
    <xdr:graphicFrame macro="">
      <xdr:nvGraphicFramePr>
        <xdr:cNvPr id="24" name="Chart 23">
          <a:extLst>
            <a:ext uri="{FF2B5EF4-FFF2-40B4-BE49-F238E27FC236}">
              <a16:creationId xmlns:a16="http://schemas.microsoft.com/office/drawing/2014/main" id="{C159CE01-39F6-C441-D02B-4FD6E9226C83}"/>
            </a:ext>
            <a:ext uri="{147F2762-F138-4A5C-976F-8EAC2B608ADB}">
              <a16:predDERef xmlns:a16="http://schemas.microsoft.com/office/drawing/2014/main" pred="{530A86A4-D75A-9E52-8753-E8D99B814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85725</xdr:colOff>
      <xdr:row>15</xdr:row>
      <xdr:rowOff>28575</xdr:rowOff>
    </xdr:from>
    <xdr:to>
      <xdr:col>27</xdr:col>
      <xdr:colOff>390525</xdr:colOff>
      <xdr:row>29</xdr:row>
      <xdr:rowOff>104775</xdr:rowOff>
    </xdr:to>
    <xdr:graphicFrame macro="">
      <xdr:nvGraphicFramePr>
        <xdr:cNvPr id="25" name="Chart 24">
          <a:extLst>
            <a:ext uri="{FF2B5EF4-FFF2-40B4-BE49-F238E27FC236}">
              <a16:creationId xmlns:a16="http://schemas.microsoft.com/office/drawing/2014/main" id="{86987FBE-046F-3565-76D7-026B139E2233}"/>
            </a:ext>
            <a:ext uri="{147F2762-F138-4A5C-976F-8EAC2B608ADB}">
              <a16:predDERef xmlns:a16="http://schemas.microsoft.com/office/drawing/2014/main" pred="{C159CE01-39F6-C441-D02B-4FD6E9226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75.872270138891" createdVersion="8" refreshedVersion="8" minRefreshableVersion="3" recordCount="38" xr:uid="{A17C0C47-ED5A-4910-A14B-A14FE6DCF76D}">
  <cacheSource type="worksheet">
    <worksheetSource ref="A1:E39" sheet="Category Table"/>
  </cacheSource>
  <cacheFields count="5">
    <cacheField name="Month" numFmtId="0">
      <sharedItems count="5">
        <s v="Jan"/>
        <s v="Feb"/>
        <s v="Mar"/>
        <s v="Apr"/>
        <s v="May"/>
      </sharedItems>
    </cacheField>
    <cacheField name="Category" numFmtId="0">
      <sharedItems count="12">
        <s v="previous due"/>
        <s v="Gift"/>
        <s v="Installment"/>
        <s v="Mobile Expense"/>
        <s v="Salary"/>
        <s v="Groceries"/>
        <s v="Entertainment"/>
        <s v="Appliances"/>
        <s v="Utilities"/>
        <s v="Rent"/>
        <s v="Council Tax"/>
        <s v="Shopping"/>
      </sharedItems>
    </cacheField>
    <cacheField name="Pay in (£)" numFmtId="0">
      <sharedItems containsBlank="1" containsMixedTypes="1" containsNumber="1" minValue="134.12" maxValue="1740.53" count="7">
        <s v=" "/>
        <n v="400"/>
        <n v="781.6"/>
        <n v="1740.53"/>
        <n v="134.12"/>
        <n v="650"/>
        <m/>
      </sharedItems>
    </cacheField>
    <cacheField name="Withdraw in (£)" numFmtId="0">
      <sharedItems containsBlank="1" containsMixedTypes="1" containsNumber="1" minValue="20" maxValue="2400" count="15">
        <m/>
        <s v=" "/>
        <n v="40"/>
        <n v="20"/>
        <n v="100"/>
        <n v="31"/>
        <n v="150"/>
        <n v="2400"/>
        <n v="75.95"/>
        <n v="50"/>
        <n v="71.08"/>
        <n v="161.44"/>
        <n v="359"/>
        <n v="30"/>
        <n v="120"/>
      </sharedItems>
    </cacheField>
    <cacheField name="Balance (£)" numFmtId="2">
      <sharedItems containsSemiMixedTypes="0" containsString="0" containsNumber="1" minValue="3033.14" maxValue="9785.7800000000007" count="38">
        <n v="3033.14"/>
        <n v="3433.14"/>
        <n v="3393.14"/>
        <n v="3373.14"/>
        <n v="4154.74"/>
        <n v="4054.74"/>
        <n v="5795.2699999999995"/>
        <n v="5764.2699999999995"/>
        <n v="5614.2699999999995"/>
        <n v="5574.2699999999995"/>
        <n v="5708.3899999999994"/>
        <n v="3308.3899999999994"/>
        <n v="3232.4399999999996"/>
        <n v="3182.4399999999996"/>
        <n v="3111.3599999999997"/>
        <n v="3761.3599999999997"/>
        <n v="3599.9199999999996"/>
        <n v="3559.9199999999996"/>
        <n v="3200.9199999999996"/>
        <n v="3982.5199999999995"/>
        <n v="3952.5199999999995"/>
        <n v="4352.5199999999995"/>
        <n v="4312.5199999999995"/>
        <n v="4281.5199999999995"/>
        <n v="5063.12"/>
        <n v="5463.12"/>
        <n v="5343.12"/>
        <n v="5323.12"/>
        <n v="5283.12"/>
        <n v="7023.65"/>
        <n v="7423.65"/>
        <n v="7383.65"/>
        <n v="7363.65"/>
        <n v="8145.25"/>
        <n v="8045.25"/>
        <n v="9785.7800000000007"/>
        <n v="9754.7800000000007"/>
        <n v="9604.7800000000007"/>
      </sharedItems>
    </cacheField>
  </cacheFields>
  <extLst>
    <ext xmlns:x14="http://schemas.microsoft.com/office/spreadsheetml/2009/9/main" uri="{725AE2AE-9491-48be-B2B4-4EB974FC3084}">
      <x14:pivotCacheDefinition pivotCacheId="1633760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x v="0"/>
    <x v="0"/>
    <x v="0"/>
    <x v="0"/>
  </r>
  <r>
    <x v="0"/>
    <x v="1"/>
    <x v="1"/>
    <x v="1"/>
    <x v="1"/>
  </r>
  <r>
    <x v="0"/>
    <x v="2"/>
    <x v="0"/>
    <x v="2"/>
    <x v="2"/>
  </r>
  <r>
    <x v="0"/>
    <x v="3"/>
    <x v="0"/>
    <x v="3"/>
    <x v="3"/>
  </r>
  <r>
    <x v="0"/>
    <x v="4"/>
    <x v="2"/>
    <x v="1"/>
    <x v="4"/>
  </r>
  <r>
    <x v="0"/>
    <x v="3"/>
    <x v="0"/>
    <x v="4"/>
    <x v="5"/>
  </r>
  <r>
    <x v="0"/>
    <x v="5"/>
    <x v="3"/>
    <x v="1"/>
    <x v="6"/>
  </r>
  <r>
    <x v="0"/>
    <x v="6"/>
    <x v="0"/>
    <x v="5"/>
    <x v="7"/>
  </r>
  <r>
    <x v="0"/>
    <x v="7"/>
    <x v="0"/>
    <x v="6"/>
    <x v="8"/>
  </r>
  <r>
    <x v="1"/>
    <x v="2"/>
    <x v="0"/>
    <x v="2"/>
    <x v="9"/>
  </r>
  <r>
    <x v="1"/>
    <x v="8"/>
    <x v="4"/>
    <x v="1"/>
    <x v="10"/>
  </r>
  <r>
    <x v="1"/>
    <x v="9"/>
    <x v="0"/>
    <x v="7"/>
    <x v="11"/>
  </r>
  <r>
    <x v="1"/>
    <x v="8"/>
    <x v="0"/>
    <x v="8"/>
    <x v="12"/>
  </r>
  <r>
    <x v="1"/>
    <x v="3"/>
    <x v="0"/>
    <x v="9"/>
    <x v="13"/>
  </r>
  <r>
    <x v="1"/>
    <x v="8"/>
    <x v="0"/>
    <x v="10"/>
    <x v="14"/>
  </r>
  <r>
    <x v="1"/>
    <x v="9"/>
    <x v="5"/>
    <x v="1"/>
    <x v="15"/>
  </r>
  <r>
    <x v="1"/>
    <x v="8"/>
    <x v="0"/>
    <x v="11"/>
    <x v="16"/>
  </r>
  <r>
    <x v="2"/>
    <x v="2"/>
    <x v="0"/>
    <x v="2"/>
    <x v="17"/>
  </r>
  <r>
    <x v="2"/>
    <x v="10"/>
    <x v="0"/>
    <x v="12"/>
    <x v="18"/>
  </r>
  <r>
    <x v="2"/>
    <x v="4"/>
    <x v="2"/>
    <x v="1"/>
    <x v="19"/>
  </r>
  <r>
    <x v="2"/>
    <x v="11"/>
    <x v="6"/>
    <x v="13"/>
    <x v="20"/>
  </r>
  <r>
    <x v="3"/>
    <x v="1"/>
    <x v="1"/>
    <x v="0"/>
    <x v="21"/>
  </r>
  <r>
    <x v="3"/>
    <x v="2"/>
    <x v="0"/>
    <x v="2"/>
    <x v="22"/>
  </r>
  <r>
    <x v="3"/>
    <x v="6"/>
    <x v="0"/>
    <x v="5"/>
    <x v="23"/>
  </r>
  <r>
    <x v="3"/>
    <x v="4"/>
    <x v="2"/>
    <x v="0"/>
    <x v="24"/>
  </r>
  <r>
    <x v="3"/>
    <x v="1"/>
    <x v="1"/>
    <x v="0"/>
    <x v="25"/>
  </r>
  <r>
    <x v="3"/>
    <x v="11"/>
    <x v="6"/>
    <x v="14"/>
    <x v="26"/>
  </r>
  <r>
    <x v="3"/>
    <x v="3"/>
    <x v="0"/>
    <x v="3"/>
    <x v="27"/>
  </r>
  <r>
    <x v="3"/>
    <x v="11"/>
    <x v="6"/>
    <x v="2"/>
    <x v="28"/>
  </r>
  <r>
    <x v="3"/>
    <x v="5"/>
    <x v="3"/>
    <x v="0"/>
    <x v="29"/>
  </r>
  <r>
    <x v="4"/>
    <x v="1"/>
    <x v="1"/>
    <x v="1"/>
    <x v="30"/>
  </r>
  <r>
    <x v="4"/>
    <x v="2"/>
    <x v="0"/>
    <x v="2"/>
    <x v="31"/>
  </r>
  <r>
    <x v="4"/>
    <x v="3"/>
    <x v="0"/>
    <x v="3"/>
    <x v="32"/>
  </r>
  <r>
    <x v="4"/>
    <x v="4"/>
    <x v="2"/>
    <x v="1"/>
    <x v="33"/>
  </r>
  <r>
    <x v="4"/>
    <x v="3"/>
    <x v="0"/>
    <x v="4"/>
    <x v="34"/>
  </r>
  <r>
    <x v="4"/>
    <x v="5"/>
    <x v="3"/>
    <x v="1"/>
    <x v="35"/>
  </r>
  <r>
    <x v="4"/>
    <x v="6"/>
    <x v="0"/>
    <x v="5"/>
    <x v="36"/>
  </r>
  <r>
    <x v="4"/>
    <x v="7"/>
    <x v="0"/>
    <x v="6"/>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0AEB9-3B0B-4EE2-B07C-9F9147B62CCD}" name="PivotTable3" cacheId="15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6:B29" firstHeaderRow="1" firstDataRow="1" firstDataCol="1"/>
  <pivotFields count="5">
    <pivotField compact="0" outline="0" showAll="0">
      <items count="6">
        <item x="0"/>
        <item x="1"/>
        <item x="2"/>
        <item x="3"/>
        <item x="4"/>
        <item t="default"/>
      </items>
    </pivotField>
    <pivotField axis="axisRow" compact="0" outline="0" showAll="0">
      <items count="13">
        <item x="7"/>
        <item x="10"/>
        <item x="6"/>
        <item x="1"/>
        <item x="5"/>
        <item x="2"/>
        <item x="3"/>
        <item x="0"/>
        <item x="9"/>
        <item x="4"/>
        <item x="11"/>
        <item x="8"/>
        <item t="default"/>
      </items>
    </pivotField>
    <pivotField dataField="1" compact="0" outline="0" showAll="0">
      <items count="8">
        <item x="4"/>
        <item x="1"/>
        <item x="5"/>
        <item x="2"/>
        <item x="3"/>
        <item x="0"/>
        <item x="6"/>
        <item t="default"/>
      </items>
    </pivotField>
    <pivotField compact="0" outline="0" showAll="0">
      <items count="16">
        <item x="3"/>
        <item x="13"/>
        <item x="5"/>
        <item x="2"/>
        <item x="9"/>
        <item x="10"/>
        <item x="8"/>
        <item x="4"/>
        <item x="14"/>
        <item x="6"/>
        <item x="11"/>
        <item x="12"/>
        <item x="7"/>
        <item x="1"/>
        <item x="0"/>
        <item t="default"/>
      </items>
    </pivotField>
    <pivotField compact="0" numFmtId="2" outline="0" showAll="0">
      <items count="39">
        <item x="0"/>
        <item x="14"/>
        <item x="13"/>
        <item x="18"/>
        <item x="12"/>
        <item x="11"/>
        <item x="3"/>
        <item x="2"/>
        <item x="1"/>
        <item x="17"/>
        <item x="16"/>
        <item x="15"/>
        <item x="20"/>
        <item x="19"/>
        <item x="5"/>
        <item x="4"/>
        <item x="23"/>
        <item x="22"/>
        <item x="21"/>
        <item x="24"/>
        <item x="28"/>
        <item x="27"/>
        <item x="26"/>
        <item x="25"/>
        <item x="9"/>
        <item x="8"/>
        <item x="10"/>
        <item x="7"/>
        <item x="6"/>
        <item x="29"/>
        <item x="32"/>
        <item x="31"/>
        <item x="30"/>
        <item x="34"/>
        <item x="33"/>
        <item x="37"/>
        <item x="36"/>
        <item x="35"/>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Pay in (£)" fld="2" subtotal="count" baseField="0" baseItem="0"/>
  </dataFields>
  <chartFormats count="4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 chart="0" format="11">
      <pivotArea type="data" outline="0" fieldPosition="0">
        <references count="2">
          <reference field="4294967294" count="1" selected="0">
            <x v="0"/>
          </reference>
          <reference field="1" count="1" selected="0">
            <x v="10"/>
          </reference>
        </references>
      </pivotArea>
    </chartFormat>
    <chartFormat chart="0" format="12">
      <pivotArea type="data" outline="0" fieldPosition="0">
        <references count="2">
          <reference field="4294967294" count="1" selected="0">
            <x v="0"/>
          </reference>
          <reference field="1" count="1" selected="0">
            <x v="11"/>
          </reference>
        </references>
      </pivotArea>
    </chartFormat>
    <chartFormat chart="1" format="13" series="1">
      <pivotArea type="data" outline="0" fieldPosition="0">
        <references count="1">
          <reference field="4294967294" count="1" selected="0">
            <x v="0"/>
          </reference>
        </references>
      </pivotArea>
    </chartFormat>
    <chartFormat chart="1" format="14">
      <pivotArea type="data" outline="0" fieldPosition="0">
        <references count="2">
          <reference field="4294967294" count="1" selected="0">
            <x v="0"/>
          </reference>
          <reference field="1" count="1" selected="0">
            <x v="5"/>
          </reference>
        </references>
      </pivotArea>
    </chartFormat>
    <chartFormat chart="1" format="15">
      <pivotArea type="data" outline="0" fieldPosition="0">
        <references count="2">
          <reference field="4294967294" count="1" selected="0">
            <x v="0"/>
          </reference>
          <reference field="1" count="1" selected="0">
            <x v="6"/>
          </reference>
        </references>
      </pivotArea>
    </chartFormat>
    <chartFormat chart="1" format="16">
      <pivotArea type="data" outline="0" fieldPosition="0">
        <references count="2">
          <reference field="4294967294" count="1" selected="0">
            <x v="0"/>
          </reference>
          <reference field="1" count="1" selected="0">
            <x v="8"/>
          </reference>
        </references>
      </pivotArea>
    </chartFormat>
    <chartFormat chart="1" format="17">
      <pivotArea type="data" outline="0" fieldPosition="0">
        <references count="2">
          <reference field="4294967294" count="1" selected="0">
            <x v="0"/>
          </reference>
          <reference field="1" count="1" selected="0">
            <x v="11"/>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1" count="1" selected="0">
            <x v="5"/>
          </reference>
        </references>
      </pivotArea>
    </chartFormat>
    <chartFormat chart="2" format="20">
      <pivotArea type="data" outline="0" fieldPosition="0">
        <references count="2">
          <reference field="4294967294" count="1" selected="0">
            <x v="0"/>
          </reference>
          <reference field="1" count="1" selected="0">
            <x v="6"/>
          </reference>
        </references>
      </pivotArea>
    </chartFormat>
    <chartFormat chart="2" format="21">
      <pivotArea type="data" outline="0" fieldPosition="0">
        <references count="2">
          <reference field="4294967294" count="1" selected="0">
            <x v="0"/>
          </reference>
          <reference field="1" count="1" selected="0">
            <x v="8"/>
          </reference>
        </references>
      </pivotArea>
    </chartFormat>
    <chartFormat chart="2" format="22">
      <pivotArea type="data" outline="0" fieldPosition="0">
        <references count="2">
          <reference field="4294967294" count="1" selected="0">
            <x v="0"/>
          </reference>
          <reference field="1" count="1" selected="0">
            <x v="11"/>
          </reference>
        </references>
      </pivotArea>
    </chartFormat>
    <chartFormat chart="3" format="23"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1" count="1" selected="0">
            <x v="5"/>
          </reference>
        </references>
      </pivotArea>
    </chartFormat>
    <chartFormat chart="3" format="25">
      <pivotArea type="data" outline="0" fieldPosition="0">
        <references count="2">
          <reference field="4294967294" count="1" selected="0">
            <x v="0"/>
          </reference>
          <reference field="1" count="1" selected="0">
            <x v="6"/>
          </reference>
        </references>
      </pivotArea>
    </chartFormat>
    <chartFormat chart="3" format="26">
      <pivotArea type="data" outline="0" fieldPosition="0">
        <references count="2">
          <reference field="4294967294" count="1" selected="0">
            <x v="0"/>
          </reference>
          <reference field="1" count="1" selected="0">
            <x v="8"/>
          </reference>
        </references>
      </pivotArea>
    </chartFormat>
    <chartFormat chart="3" format="27">
      <pivotArea type="data" outline="0" fieldPosition="0">
        <references count="2">
          <reference field="4294967294" count="1" selected="0">
            <x v="0"/>
          </reference>
          <reference field="1" count="1" selected="0">
            <x v="11"/>
          </reference>
        </references>
      </pivotArea>
    </chartFormat>
    <chartFormat chart="4" format="41" series="1">
      <pivotArea type="data" outline="0" fieldPosition="0">
        <references count="1">
          <reference field="4294967294" count="1" selected="0">
            <x v="0"/>
          </reference>
        </references>
      </pivotArea>
    </chartFormat>
    <chartFormat chart="4" format="42">
      <pivotArea type="data" outline="0" fieldPosition="0">
        <references count="2">
          <reference field="4294967294" count="1" selected="0">
            <x v="0"/>
          </reference>
          <reference field="1" count="1" selected="0">
            <x v="0"/>
          </reference>
        </references>
      </pivotArea>
    </chartFormat>
    <chartFormat chart="4" format="43">
      <pivotArea type="data" outline="0" fieldPosition="0">
        <references count="2">
          <reference field="4294967294" count="1" selected="0">
            <x v="0"/>
          </reference>
          <reference field="1" count="1" selected="0">
            <x v="1"/>
          </reference>
        </references>
      </pivotArea>
    </chartFormat>
    <chartFormat chart="4" format="44">
      <pivotArea type="data" outline="0" fieldPosition="0">
        <references count="2">
          <reference field="4294967294" count="1" selected="0">
            <x v="0"/>
          </reference>
          <reference field="1" count="1" selected="0">
            <x v="2"/>
          </reference>
        </references>
      </pivotArea>
    </chartFormat>
    <chartFormat chart="4" format="45">
      <pivotArea type="data" outline="0" fieldPosition="0">
        <references count="2">
          <reference field="4294967294" count="1" selected="0">
            <x v="0"/>
          </reference>
          <reference field="1" count="1" selected="0">
            <x v="3"/>
          </reference>
        </references>
      </pivotArea>
    </chartFormat>
    <chartFormat chart="4" format="46">
      <pivotArea type="data" outline="0" fieldPosition="0">
        <references count="2">
          <reference field="4294967294" count="1" selected="0">
            <x v="0"/>
          </reference>
          <reference field="1" count="1" selected="0">
            <x v="4"/>
          </reference>
        </references>
      </pivotArea>
    </chartFormat>
    <chartFormat chart="4" format="47">
      <pivotArea type="data" outline="0" fieldPosition="0">
        <references count="2">
          <reference field="4294967294" count="1" selected="0">
            <x v="0"/>
          </reference>
          <reference field="1" count="1" selected="0">
            <x v="5"/>
          </reference>
        </references>
      </pivotArea>
    </chartFormat>
    <chartFormat chart="4" format="48">
      <pivotArea type="data" outline="0" fieldPosition="0">
        <references count="2">
          <reference field="4294967294" count="1" selected="0">
            <x v="0"/>
          </reference>
          <reference field="1" count="1" selected="0">
            <x v="6"/>
          </reference>
        </references>
      </pivotArea>
    </chartFormat>
    <chartFormat chart="4" format="49">
      <pivotArea type="data" outline="0" fieldPosition="0">
        <references count="2">
          <reference field="4294967294" count="1" selected="0">
            <x v="0"/>
          </reference>
          <reference field="1" count="1" selected="0">
            <x v="7"/>
          </reference>
        </references>
      </pivotArea>
    </chartFormat>
    <chartFormat chart="4" format="50">
      <pivotArea type="data" outline="0" fieldPosition="0">
        <references count="2">
          <reference field="4294967294" count="1" selected="0">
            <x v="0"/>
          </reference>
          <reference field="1" count="1" selected="0">
            <x v="8"/>
          </reference>
        </references>
      </pivotArea>
    </chartFormat>
    <chartFormat chart="4" format="51">
      <pivotArea type="data" outline="0" fieldPosition="0">
        <references count="2">
          <reference field="4294967294" count="1" selected="0">
            <x v="0"/>
          </reference>
          <reference field="1" count="1" selected="0">
            <x v="9"/>
          </reference>
        </references>
      </pivotArea>
    </chartFormat>
    <chartFormat chart="4" format="52">
      <pivotArea type="data" outline="0" fieldPosition="0">
        <references count="2">
          <reference field="4294967294" count="1" selected="0">
            <x v="0"/>
          </reference>
          <reference field="1" count="1" selected="0">
            <x v="10"/>
          </reference>
        </references>
      </pivotArea>
    </chartFormat>
    <chartFormat chart="4" format="53">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EFF83D-9A15-4F80-9776-9EC790C3F5A4}" name="PivotTable2" cacheId="15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D1:E7" firstHeaderRow="1" firstDataRow="1" firstDataCol="1"/>
  <pivotFields count="5">
    <pivotField axis="axisRow" compact="0" outline="0" showAll="0">
      <items count="6">
        <item x="0"/>
        <item x="1"/>
        <item x="2"/>
        <item x="3"/>
        <item x="4"/>
        <item t="default"/>
      </items>
    </pivotField>
    <pivotField compact="0" outline="0" showAll="0">
      <items count="13">
        <item x="7"/>
        <item x="10"/>
        <item x="6"/>
        <item x="1"/>
        <item x="5"/>
        <item x="2"/>
        <item x="3"/>
        <item x="0"/>
        <item x="9"/>
        <item x="4"/>
        <item x="11"/>
        <item x="8"/>
        <item t="default"/>
      </items>
    </pivotField>
    <pivotField compact="0" outline="0" showAll="0">
      <items count="8">
        <item x="4"/>
        <item x="1"/>
        <item x="5"/>
        <item x="2"/>
        <item x="3"/>
        <item x="0"/>
        <item x="6"/>
        <item t="default"/>
      </items>
    </pivotField>
    <pivotField compact="0" outline="0" showAll="0">
      <items count="16">
        <item x="3"/>
        <item x="13"/>
        <item x="5"/>
        <item x="2"/>
        <item x="9"/>
        <item x="10"/>
        <item x="8"/>
        <item x="4"/>
        <item x="14"/>
        <item x="6"/>
        <item x="11"/>
        <item x="12"/>
        <item x="7"/>
        <item x="1"/>
        <item x="0"/>
        <item t="default"/>
      </items>
    </pivotField>
    <pivotField dataField="1" compact="0" numFmtId="2" outline="0" showAll="0">
      <items count="39">
        <item x="0"/>
        <item x="14"/>
        <item x="13"/>
        <item x="18"/>
        <item x="12"/>
        <item x="11"/>
        <item x="3"/>
        <item x="2"/>
        <item x="1"/>
        <item x="17"/>
        <item x="16"/>
        <item x="15"/>
        <item x="20"/>
        <item x="19"/>
        <item x="5"/>
        <item x="4"/>
        <item x="23"/>
        <item x="22"/>
        <item x="21"/>
        <item x="24"/>
        <item x="28"/>
        <item x="27"/>
        <item x="26"/>
        <item x="25"/>
        <item x="9"/>
        <item x="8"/>
        <item x="10"/>
        <item x="7"/>
        <item x="6"/>
        <item x="29"/>
        <item x="32"/>
        <item x="31"/>
        <item x="30"/>
        <item x="34"/>
        <item x="33"/>
        <item x="37"/>
        <item x="36"/>
        <item x="35"/>
        <item t="default"/>
      </items>
    </pivotField>
  </pivotFields>
  <rowFields count="1">
    <field x="0"/>
  </rowFields>
  <rowItems count="6">
    <i>
      <x/>
    </i>
    <i>
      <x v="1"/>
    </i>
    <i>
      <x v="2"/>
    </i>
    <i>
      <x v="3"/>
    </i>
    <i>
      <x v="4"/>
    </i>
    <i t="grand">
      <x/>
    </i>
  </rowItems>
  <colItems count="1">
    <i/>
  </colItems>
  <dataFields count="1">
    <dataField name="Sum of Balance (£)" fld="4" baseField="0" baseItem="0" numFmtId="2"/>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45EB2E-8137-49CC-8541-BA34BCD21BD3}" name="PivotTable1" cacheId="15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B14" firstHeaderRow="1" firstDataRow="1" firstDataCol="1"/>
  <pivotFields count="5">
    <pivotField compact="0" outline="0" showAll="0">
      <items count="6">
        <item x="0"/>
        <item x="1"/>
        <item x="2"/>
        <item x="3"/>
        <item x="4"/>
        <item t="default"/>
      </items>
    </pivotField>
    <pivotField axis="axisRow" compact="0" outline="0" showAll="0">
      <items count="13">
        <item x="7"/>
        <item x="10"/>
        <item x="6"/>
        <item x="1"/>
        <item x="5"/>
        <item x="2"/>
        <item x="3"/>
        <item x="0"/>
        <item x="9"/>
        <item x="4"/>
        <item x="11"/>
        <item x="8"/>
        <item t="default"/>
      </items>
    </pivotField>
    <pivotField compact="0" outline="0" showAll="0">
      <items count="8">
        <item x="4"/>
        <item x="1"/>
        <item x="5"/>
        <item x="2"/>
        <item x="3"/>
        <item x="0"/>
        <item x="6"/>
        <item t="default"/>
      </items>
    </pivotField>
    <pivotField dataField="1" compact="0" outline="0" showAll="0">
      <items count="16">
        <item x="3"/>
        <item x="13"/>
        <item x="5"/>
        <item x="2"/>
        <item x="9"/>
        <item x="10"/>
        <item x="8"/>
        <item x="4"/>
        <item x="14"/>
        <item x="6"/>
        <item x="11"/>
        <item x="12"/>
        <item x="7"/>
        <item x="1"/>
        <item x="0"/>
        <item t="default"/>
      </items>
    </pivotField>
    <pivotField compact="0" numFmtId="2" outline="0" showAll="0">
      <items count="39">
        <item x="0"/>
        <item x="14"/>
        <item x="13"/>
        <item x="18"/>
        <item x="12"/>
        <item x="11"/>
        <item x="3"/>
        <item x="2"/>
        <item x="1"/>
        <item x="17"/>
        <item x="16"/>
        <item x="15"/>
        <item x="20"/>
        <item x="19"/>
        <item x="5"/>
        <item x="4"/>
        <item x="23"/>
        <item x="22"/>
        <item x="21"/>
        <item x="24"/>
        <item x="28"/>
        <item x="27"/>
        <item x="26"/>
        <item x="25"/>
        <item x="9"/>
        <item x="8"/>
        <item x="10"/>
        <item x="7"/>
        <item x="6"/>
        <item x="29"/>
        <item x="32"/>
        <item x="31"/>
        <item x="30"/>
        <item x="34"/>
        <item x="33"/>
        <item x="37"/>
        <item x="36"/>
        <item x="35"/>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Count of Withdraw in (£)" fld="3" subtotal="count" baseField="0" baseItem="0"/>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C0C017-1F1A-4756-94B7-4D93A299F146}" name="PivotTable4" cacheId="154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G1:I7" firstHeaderRow="0" firstDataRow="1" firstDataCol="1"/>
  <pivotFields count="5">
    <pivotField axis="axisRow" compact="0" outline="0" showAll="0">
      <items count="6">
        <item x="0"/>
        <item x="1"/>
        <item x="2"/>
        <item x="3"/>
        <item x="4"/>
        <item t="default"/>
      </items>
    </pivotField>
    <pivotField compact="0" outline="0" showAll="0">
      <items count="13">
        <item x="7"/>
        <item x="10"/>
        <item x="6"/>
        <item x="1"/>
        <item x="5"/>
        <item x="2"/>
        <item x="3"/>
        <item x="0"/>
        <item x="9"/>
        <item x="4"/>
        <item x="11"/>
        <item x="8"/>
        <item t="default"/>
      </items>
    </pivotField>
    <pivotField dataField="1" compact="0" outline="0" showAll="0">
      <items count="8">
        <item x="4"/>
        <item x="1"/>
        <item x="5"/>
        <item x="2"/>
        <item x="3"/>
        <item x="0"/>
        <item x="6"/>
        <item t="default"/>
      </items>
    </pivotField>
    <pivotField dataField="1" compact="0" outline="0" showAll="0">
      <items count="16">
        <item x="3"/>
        <item x="13"/>
        <item x="5"/>
        <item x="2"/>
        <item x="9"/>
        <item x="10"/>
        <item x="8"/>
        <item x="4"/>
        <item x="14"/>
        <item x="6"/>
        <item x="11"/>
        <item x="12"/>
        <item x="7"/>
        <item x="1"/>
        <item x="0"/>
        <item t="default"/>
      </items>
    </pivotField>
    <pivotField compact="0" numFmtId="2" outline="0" showAll="0">
      <items count="39">
        <item x="0"/>
        <item x="14"/>
        <item x="13"/>
        <item x="18"/>
        <item x="12"/>
        <item x="11"/>
        <item x="3"/>
        <item x="2"/>
        <item x="1"/>
        <item x="17"/>
        <item x="16"/>
        <item x="15"/>
        <item x="20"/>
        <item x="19"/>
        <item x="5"/>
        <item x="4"/>
        <item x="23"/>
        <item x="22"/>
        <item x="21"/>
        <item x="24"/>
        <item x="28"/>
        <item x="27"/>
        <item x="26"/>
        <item x="25"/>
        <item x="9"/>
        <item x="8"/>
        <item x="10"/>
        <item x="7"/>
        <item x="6"/>
        <item x="29"/>
        <item x="32"/>
        <item x="31"/>
        <item x="30"/>
        <item x="34"/>
        <item x="33"/>
        <item x="37"/>
        <item x="36"/>
        <item x="35"/>
        <item t="default"/>
      </items>
    </pivotField>
  </pivotFields>
  <rowFields count="1">
    <field x="0"/>
  </rowFields>
  <rowItems count="6">
    <i>
      <x/>
    </i>
    <i>
      <x v="1"/>
    </i>
    <i>
      <x v="2"/>
    </i>
    <i>
      <x v="3"/>
    </i>
    <i>
      <x v="4"/>
    </i>
    <i t="grand">
      <x/>
    </i>
  </rowItems>
  <colFields count="1">
    <field x="-2"/>
  </colFields>
  <colItems count="2">
    <i>
      <x/>
    </i>
    <i i="1">
      <x v="1"/>
    </i>
  </colItems>
  <dataFields count="2">
    <dataField name="Count of Pay in (£)" fld="2" subtotal="count" baseField="0" baseItem="0"/>
    <dataField name="Count of Withdraw in (£)" fld="3" subtotal="count" baseField="0"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AE05650-CD37-47E7-840F-DAE49805A655}" sourceName="Month">
  <pivotTables>
    <pivotTable tabId="20" name="PivotTable1"/>
    <pivotTable tabId="20" name="PivotTable2"/>
    <pivotTable tabId="20" name="PivotTable3"/>
    <pivotTable tabId="20" name="PivotTable4"/>
  </pivotTables>
  <data>
    <tabular pivotCacheId="1633760322">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1F2E31-0BE1-4624-B0CD-9B31BDD77CCD}" sourceName="Category">
  <pivotTables>
    <pivotTable tabId="20" name="PivotTable1"/>
    <pivotTable tabId="20" name="PivotTable4"/>
    <pivotTable tabId="20" name="PivotTable3"/>
    <pivotTable tabId="20" name="PivotTable2"/>
  </pivotTables>
  <data>
    <tabular pivotCacheId="1633760322">
      <items count="12">
        <i x="7" s="1"/>
        <i x="10" s="1"/>
        <i x="6" s="1"/>
        <i x="1" s="1"/>
        <i x="5" s="1"/>
        <i x="2" s="1"/>
        <i x="3" s="1"/>
        <i x="0" s="1"/>
        <i x="9" s="1"/>
        <i x="4"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_in____1" xr10:uid="{0131A137-5AC8-44A0-946D-E823648FAC4D}" sourceName="Pay in (£)">
  <pivotTables>
    <pivotTable tabId="20" name="PivotTable1"/>
    <pivotTable tabId="20" name="PivotTable4"/>
    <pivotTable tabId="20" name="PivotTable3"/>
    <pivotTable tabId="20" name="PivotTable2"/>
  </pivotTables>
  <data>
    <tabular pivotCacheId="1633760322">
      <items count="7">
        <i x="4" s="1"/>
        <i x="1" s="1"/>
        <i x="5" s="1"/>
        <i x="2" s="1"/>
        <i x="3"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thdraw_in____1" xr10:uid="{880E948A-F3D5-4366-8E1B-518E1E8D7C63}" sourceName="Withdraw in (£)">
  <pivotTables>
    <pivotTable tabId="20" name="PivotTable1"/>
    <pivotTable tabId="20" name="PivotTable4"/>
    <pivotTable tabId="20" name="PivotTable3"/>
    <pivotTable tabId="20" name="PivotTable2"/>
  </pivotTables>
  <data>
    <tabular pivotCacheId="1633760322">
      <items count="15">
        <i x="3" s="1"/>
        <i x="13" s="1"/>
        <i x="5" s="1"/>
        <i x="2" s="1"/>
        <i x="9" s="1"/>
        <i x="10" s="1"/>
        <i x="8" s="1"/>
        <i x="4" s="1"/>
        <i x="14" s="1"/>
        <i x="6" s="1"/>
        <i x="11" s="1"/>
        <i x="12" s="1"/>
        <i x="7"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lance____1" xr10:uid="{6BBC777D-70AF-4EEF-BB58-57A580FD6EB3}" sourceName="Balance (£)">
  <pivotTables>
    <pivotTable tabId="20" name="PivotTable1"/>
    <pivotTable tabId="20" name="PivotTable4"/>
    <pivotTable tabId="20" name="PivotTable3"/>
    <pivotTable tabId="20" name="PivotTable2"/>
  </pivotTables>
  <data>
    <tabular pivotCacheId="1633760322">
      <items count="38">
        <i x="0" s="1"/>
        <i x="14" s="1"/>
        <i x="13" s="1"/>
        <i x="18" s="1"/>
        <i x="12" s="1"/>
        <i x="11" s="1"/>
        <i x="3" s="1"/>
        <i x="2" s="1"/>
        <i x="1" s="1"/>
        <i x="17" s="1"/>
        <i x="16" s="1"/>
        <i x="15" s="1"/>
        <i x="20" s="1"/>
        <i x="19" s="1"/>
        <i x="5" s="1"/>
        <i x="4" s="1"/>
        <i x="23" s="1"/>
        <i x="22" s="1"/>
        <i x="21" s="1"/>
        <i x="24" s="1"/>
        <i x="28" s="1"/>
        <i x="27" s="1"/>
        <i x="26" s="1"/>
        <i x="25" s="1"/>
        <i x="9" s="1"/>
        <i x="8" s="1"/>
        <i x="10" s="1"/>
        <i x="7" s="1"/>
        <i x="6" s="1"/>
        <i x="29" s="1"/>
        <i x="32" s="1"/>
        <i x="31" s="1"/>
        <i x="30" s="1"/>
        <i x="34" s="1"/>
        <i x="33" s="1"/>
        <i x="37" s="1"/>
        <i x="36"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E3EFDEFE-D74E-4442-8E01-42783375417A}" cache="Slicer_Month1" caption="Month" columnCount="3" rowHeight="228600"/>
  <slicer name="Category 1" xr10:uid="{E2CFB000-287F-4CE1-A354-141D1E83D6D8}" cache="Slicer_Category" caption="Category" rowHeight="228600"/>
  <slicer name="Pay in (£) 4" xr10:uid="{10D0C008-D0B5-45B7-8EB2-26725999ACE1}" cache="Slicer_Pay_in____1" caption="Pay in (£)" rowHeight="228600"/>
  <slicer name="Withdraw in (£) 3" xr10:uid="{6A692AF1-8A13-4704-9BB9-48A5F5C085D4}" cache="Slicer_Withdraw_in____1" caption="Withdraw in (£)" rowHeight="228600"/>
  <slicer name="Balance (£) 2" xr10:uid="{E4C78A84-C02E-4A57-BDAE-9BDFAD2BD076}" cache="Slicer_Balance____1" caption="Balance (£)"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554A9F3-4215-47BD-A4BB-5E581DBC48EE}" name="Table3" displayName="Table3" ref="A3:E41" totalsRowShown="0" headerRowDxfId="13" tableBorderDxfId="12">
  <autoFilter ref="A3:E41" xr:uid="{7554A9F3-4215-47BD-A4BB-5E581DBC48EE}"/>
  <tableColumns count="5">
    <tableColumn id="1" xr3:uid="{8E3C33DF-E521-4258-995F-8C760A96CC73}" name="Date" dataDxfId="11"/>
    <tableColumn id="2" xr3:uid="{E6ADBC28-21C7-4970-9586-B16C6B4405D4}" name="Descriptions" dataDxfId="10"/>
    <tableColumn id="3" xr3:uid="{EF167403-E586-4F01-8EFD-859EACF19EAA}" name="Pay in (£)" dataDxfId="9"/>
    <tableColumn id="4" xr3:uid="{C4E4FD0E-0E0E-493C-B263-A7B29D92AE23}" name="Withdraw in (£)" dataDxfId="8"/>
    <tableColumn id="5" xr3:uid="{DEA97364-9DCB-4A9B-BA43-9F171AE7AF21}" name="Balance (£)" dataDxfId="7"/>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A3C1D-1FE3-4BD8-8342-030F35E5900C}" name="Table1" displayName="Table1" ref="A1:B18" totalsRowShown="0" headerRowDxfId="5" headerRowBorderDxfId="3" tableBorderDxfId="4" totalsRowBorderDxfId="2">
  <autoFilter ref="A1:B18" xr:uid="{2E8A3C1D-1FE3-4BD8-8342-030F35E5900C}"/>
  <tableColumns count="2">
    <tableColumn id="1" xr3:uid="{FA07BFEF-123F-44AE-9C62-50B215A4D568}" name="Description Keywords" dataDxfId="1"/>
    <tableColumn id="2" xr3:uid="{793C62DA-0F29-4929-BF08-6A977D390362}" name="Category"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7AE65-9B19-4618-8AA4-F6DDB7FBCBD2}">
  <dimension ref="A1"/>
  <sheetViews>
    <sheetView showGridLines="0" showRowColHeaders="0" tabSelected="1" zoomScale="69" zoomScaleNormal="69" workbookViewId="0">
      <selection activeCell="AB15" sqref="AB15"/>
    </sheetView>
  </sheetViews>
  <sheetFormatPr defaultRowHeight="15"/>
  <cols>
    <col min="22" max="22" width="9.14062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36ED7-0956-4CF3-B202-49E3BBC86F0C}">
  <dimension ref="A1:I50"/>
  <sheetViews>
    <sheetView zoomScale="120" zoomScaleNormal="120" workbookViewId="0">
      <selection activeCell="H11" sqref="H11"/>
    </sheetView>
  </sheetViews>
  <sheetFormatPr defaultRowHeight="15"/>
  <cols>
    <col min="1" max="1" width="12.42578125" style="2" customWidth="1"/>
    <col min="2" max="2" width="45" style="2" customWidth="1"/>
    <col min="3" max="3" width="13.5703125" style="2" customWidth="1"/>
    <col min="4" max="4" width="16.140625" style="2" customWidth="1"/>
    <col min="5" max="5" width="12.5703125" style="2" customWidth="1"/>
    <col min="6" max="8" width="9.140625" style="2"/>
    <col min="9" max="9" width="28.85546875" style="2" bestFit="1" customWidth="1"/>
    <col min="10" max="16384" width="9.140625" style="2"/>
  </cols>
  <sheetData>
    <row r="1" spans="1:9" ht="24">
      <c r="A1" s="56" t="s">
        <v>0</v>
      </c>
      <c r="B1" s="57"/>
      <c r="C1" s="57"/>
      <c r="D1" s="57"/>
      <c r="E1" s="57"/>
      <c r="F1" s="3"/>
      <c r="G1" s="3"/>
    </row>
    <row r="2" spans="1:9" ht="21">
      <c r="B2" s="17" t="s">
        <v>1</v>
      </c>
      <c r="G2" s="55" t="s">
        <v>2</v>
      </c>
      <c r="H2" s="55"/>
      <c r="I2" s="55"/>
    </row>
    <row r="3" spans="1:9" ht="21">
      <c r="A3" s="25" t="s">
        <v>3</v>
      </c>
      <c r="B3" s="26" t="s">
        <v>4</v>
      </c>
      <c r="C3" s="26" t="s">
        <v>5</v>
      </c>
      <c r="D3" s="26" t="s">
        <v>6</v>
      </c>
      <c r="E3" s="26" t="s">
        <v>7</v>
      </c>
      <c r="G3" s="54" t="s">
        <v>8</v>
      </c>
      <c r="H3" s="54"/>
      <c r="I3" s="19">
        <v>45658</v>
      </c>
    </row>
    <row r="4" spans="1:9" ht="21">
      <c r="A4" s="27">
        <v>45658</v>
      </c>
      <c r="B4" s="28" t="s">
        <v>9</v>
      </c>
      <c r="C4" s="29" t="s">
        <v>10</v>
      </c>
      <c r="D4"/>
      <c r="E4" s="30">
        <v>3033.14</v>
      </c>
      <c r="G4" s="54" t="s">
        <v>11</v>
      </c>
      <c r="H4" s="54"/>
      <c r="I4" s="19">
        <v>45806</v>
      </c>
    </row>
    <row r="5" spans="1:9" ht="21">
      <c r="A5" s="27">
        <v>45660</v>
      </c>
      <c r="B5" s="28" t="s">
        <v>12</v>
      </c>
      <c r="C5" s="29">
        <v>400</v>
      </c>
      <c r="D5" s="29" t="s">
        <v>10</v>
      </c>
      <c r="E5" s="30">
        <f>E4+C5-SUM(D5)</f>
        <v>3433.14</v>
      </c>
      <c r="G5" s="54" t="s">
        <v>13</v>
      </c>
      <c r="H5" s="54"/>
      <c r="I5" s="20">
        <v>3033.14</v>
      </c>
    </row>
    <row r="6" spans="1:9" ht="21">
      <c r="A6" s="27">
        <v>45663</v>
      </c>
      <c r="B6" s="28" t="s">
        <v>14</v>
      </c>
      <c r="C6" s="29" t="s">
        <v>10</v>
      </c>
      <c r="D6" s="29">
        <v>40</v>
      </c>
      <c r="E6" s="30">
        <f>SUM(E5,C6)-D6</f>
        <v>3393.14</v>
      </c>
      <c r="G6" s="54" t="s">
        <v>15</v>
      </c>
      <c r="H6" s="54"/>
      <c r="I6" s="18">
        <f>SUM(C4:C41)</f>
        <v>10732.11</v>
      </c>
    </row>
    <row r="7" spans="1:9" ht="21">
      <c r="A7" s="27">
        <v>45667</v>
      </c>
      <c r="B7" s="28" t="s">
        <v>16</v>
      </c>
      <c r="C7" s="29" t="s">
        <v>10</v>
      </c>
      <c r="D7" s="29">
        <v>20</v>
      </c>
      <c r="E7" s="30">
        <f>SUM(E6,C7)-D7</f>
        <v>3373.14</v>
      </c>
      <c r="G7" s="54" t="s">
        <v>17</v>
      </c>
      <c r="H7" s="54"/>
      <c r="I7" s="16">
        <f>SUM(D4:D41)</f>
        <v>4160.4699999999993</v>
      </c>
    </row>
    <row r="8" spans="1:9" ht="21">
      <c r="A8" s="27">
        <v>45668</v>
      </c>
      <c r="B8" s="28" t="s">
        <v>18</v>
      </c>
      <c r="C8" s="29">
        <v>781.6</v>
      </c>
      <c r="D8" s="29" t="s">
        <v>10</v>
      </c>
      <c r="E8" s="30">
        <f>E7+C8-SUM(D8)</f>
        <v>4154.74</v>
      </c>
      <c r="G8" s="54" t="s">
        <v>19</v>
      </c>
      <c r="H8" s="54"/>
      <c r="I8" s="18">
        <f>SUM(E40,C41)-D41</f>
        <v>9604.7800000000007</v>
      </c>
    </row>
    <row r="9" spans="1:9">
      <c r="A9" s="27">
        <v>45671</v>
      </c>
      <c r="B9" s="28" t="s">
        <v>20</v>
      </c>
      <c r="C9" s="29" t="s">
        <v>10</v>
      </c>
      <c r="D9" s="29">
        <v>100</v>
      </c>
      <c r="E9" s="30">
        <f>SUM(E8,C9)-D9</f>
        <v>4054.74</v>
      </c>
    </row>
    <row r="10" spans="1:9">
      <c r="A10" s="27">
        <v>45674</v>
      </c>
      <c r="B10" s="28" t="s">
        <v>21</v>
      </c>
      <c r="C10" s="29">
        <v>1740.53</v>
      </c>
      <c r="D10" s="29" t="s">
        <v>10</v>
      </c>
      <c r="E10" s="30">
        <f>E9+C10-SUM(D10)</f>
        <v>5795.2699999999995</v>
      </c>
    </row>
    <row r="11" spans="1:9">
      <c r="A11" s="27">
        <v>45681</v>
      </c>
      <c r="B11" s="28" t="s">
        <v>22</v>
      </c>
      <c r="C11" s="29" t="s">
        <v>10</v>
      </c>
      <c r="D11" s="29">
        <v>31</v>
      </c>
      <c r="E11" s="30">
        <f>SUM(E10,C11)-D11</f>
        <v>5764.2699999999995</v>
      </c>
      <c r="F11" s="4"/>
      <c r="G11" s="4"/>
      <c r="H11" s="4"/>
    </row>
    <row r="12" spans="1:9">
      <c r="A12" s="27">
        <v>45686</v>
      </c>
      <c r="B12" s="28" t="s">
        <v>23</v>
      </c>
      <c r="C12" s="29" t="s">
        <v>10</v>
      </c>
      <c r="D12" s="29">
        <v>150</v>
      </c>
      <c r="E12" s="30">
        <f>SUM(E11,C12)-D12</f>
        <v>5614.2699999999995</v>
      </c>
      <c r="G12" s="5"/>
    </row>
    <row r="13" spans="1:9">
      <c r="A13" s="27">
        <v>45690</v>
      </c>
      <c r="B13" s="28" t="s">
        <v>14</v>
      </c>
      <c r="C13" s="29" t="s">
        <v>10</v>
      </c>
      <c r="D13" s="29">
        <v>40</v>
      </c>
      <c r="E13" s="30">
        <f>SUM(E12,C13)-D13</f>
        <v>5574.2699999999995</v>
      </c>
    </row>
    <row r="14" spans="1:9">
      <c r="A14" s="27">
        <v>45693</v>
      </c>
      <c r="B14" s="28" t="s">
        <v>24</v>
      </c>
      <c r="C14" s="29">
        <v>134.12</v>
      </c>
      <c r="D14" s="29" t="s">
        <v>10</v>
      </c>
      <c r="E14" s="30">
        <f>E13+C14-SUM(D14)</f>
        <v>5708.3899999999994</v>
      </c>
    </row>
    <row r="15" spans="1:9">
      <c r="A15" s="27">
        <v>45697</v>
      </c>
      <c r="B15" s="28" t="s">
        <v>25</v>
      </c>
      <c r="C15" s="29" t="s">
        <v>10</v>
      </c>
      <c r="D15" s="29">
        <v>2400</v>
      </c>
      <c r="E15" s="30">
        <f>SUM(E14,C15)-D15</f>
        <v>3308.3899999999994</v>
      </c>
    </row>
    <row r="16" spans="1:9">
      <c r="A16" s="27">
        <v>45700</v>
      </c>
      <c r="B16" s="28" t="s">
        <v>26</v>
      </c>
      <c r="C16" s="29" t="s">
        <v>10</v>
      </c>
      <c r="D16" s="29">
        <v>75.95</v>
      </c>
      <c r="E16" s="30">
        <f>SUM(E15,C16)-D16</f>
        <v>3232.4399999999996</v>
      </c>
    </row>
    <row r="17" spans="1:5">
      <c r="A17" s="27">
        <v>45706</v>
      </c>
      <c r="B17" s="28" t="s">
        <v>20</v>
      </c>
      <c r="C17" s="29" t="s">
        <v>10</v>
      </c>
      <c r="D17" s="29">
        <v>50</v>
      </c>
      <c r="E17" s="30">
        <f>SUM(E16,C17)-D17</f>
        <v>3182.4399999999996</v>
      </c>
    </row>
    <row r="18" spans="1:5">
      <c r="A18" s="27">
        <v>45710</v>
      </c>
      <c r="B18" s="28" t="s">
        <v>27</v>
      </c>
      <c r="C18" s="29" t="s">
        <v>10</v>
      </c>
      <c r="D18" s="29">
        <v>71.08</v>
      </c>
      <c r="E18" s="30">
        <f>SUM(E17,C18)-D18</f>
        <v>3111.3599999999997</v>
      </c>
    </row>
    <row r="19" spans="1:5">
      <c r="A19" s="27">
        <v>45714</v>
      </c>
      <c r="B19" s="28" t="s">
        <v>28</v>
      </c>
      <c r="C19" s="29">
        <v>650</v>
      </c>
      <c r="D19" s="29" t="s">
        <v>10</v>
      </c>
      <c r="E19" s="30">
        <f>E18+C19-SUM(D19)</f>
        <v>3761.3599999999997</v>
      </c>
    </row>
    <row r="20" spans="1:5">
      <c r="A20" s="27">
        <v>45715</v>
      </c>
      <c r="B20" s="28" t="s">
        <v>29</v>
      </c>
      <c r="C20" s="29" t="s">
        <v>10</v>
      </c>
      <c r="D20" s="29">
        <v>161.44</v>
      </c>
      <c r="E20" s="30">
        <f>SUM(E19,C20)-D20</f>
        <v>3599.9199999999996</v>
      </c>
    </row>
    <row r="21" spans="1:5">
      <c r="A21" s="27">
        <v>45718</v>
      </c>
      <c r="B21" s="28" t="s">
        <v>14</v>
      </c>
      <c r="C21" s="29" t="s">
        <v>10</v>
      </c>
      <c r="D21" s="29">
        <v>40</v>
      </c>
      <c r="E21" s="30">
        <f>SUM(E20,C21)-D21</f>
        <v>3559.9199999999996</v>
      </c>
    </row>
    <row r="22" spans="1:5">
      <c r="A22" s="27">
        <v>45731</v>
      </c>
      <c r="B22" s="28" t="s">
        <v>30</v>
      </c>
      <c r="C22" s="29" t="s">
        <v>10</v>
      </c>
      <c r="D22" s="29">
        <v>359</v>
      </c>
      <c r="E22" s="30">
        <f>SUM(E21,C22)-D22</f>
        <v>3200.9199999999996</v>
      </c>
    </row>
    <row r="23" spans="1:5">
      <c r="A23" s="27">
        <v>45741</v>
      </c>
      <c r="B23" s="28" t="s">
        <v>18</v>
      </c>
      <c r="C23" s="29">
        <v>781.6</v>
      </c>
      <c r="D23" s="29" t="s">
        <v>10</v>
      </c>
      <c r="E23" s="30">
        <f>E22+C23-SUM(D23)</f>
        <v>3982.5199999999995</v>
      </c>
    </row>
    <row r="24" spans="1:5">
      <c r="A24" s="31">
        <v>45743</v>
      </c>
      <c r="B24" s="2" t="s">
        <v>31</v>
      </c>
      <c r="C24"/>
      <c r="D24">
        <v>30</v>
      </c>
      <c r="E24" s="30">
        <f>E23+C24-SUM(D24)</f>
        <v>3952.5199999999995</v>
      </c>
    </row>
    <row r="25" spans="1:5">
      <c r="A25" s="31">
        <v>45748</v>
      </c>
      <c r="B25" s="28" t="s">
        <v>12</v>
      </c>
      <c r="C25" s="1">
        <v>400</v>
      </c>
      <c r="D25"/>
      <c r="E25" s="30">
        <f>E24+C25-SUM(D25)</f>
        <v>4352.5199999999995</v>
      </c>
    </row>
    <row r="26" spans="1:5">
      <c r="A26" s="31">
        <v>45751</v>
      </c>
      <c r="B26" s="28" t="s">
        <v>14</v>
      </c>
      <c r="C26" s="1" t="s">
        <v>10</v>
      </c>
      <c r="D26" s="1">
        <v>40</v>
      </c>
      <c r="E26" s="30">
        <f t="shared" ref="E26:E33" si="0">SUM(E25,C26)-(D26)</f>
        <v>4312.5199999999995</v>
      </c>
    </row>
    <row r="27" spans="1:5">
      <c r="A27" s="31">
        <v>45758</v>
      </c>
      <c r="B27" s="28" t="s">
        <v>22</v>
      </c>
      <c r="C27" s="1" t="s">
        <v>10</v>
      </c>
      <c r="D27" s="1">
        <v>31</v>
      </c>
      <c r="E27" s="30">
        <f t="shared" si="0"/>
        <v>4281.5199999999995</v>
      </c>
    </row>
    <row r="28" spans="1:5">
      <c r="A28" s="31">
        <v>45762</v>
      </c>
      <c r="B28" s="28" t="s">
        <v>18</v>
      </c>
      <c r="C28" s="1">
        <v>781.6</v>
      </c>
      <c r="D28"/>
      <c r="E28" s="30">
        <f t="shared" si="0"/>
        <v>5063.12</v>
      </c>
    </row>
    <row r="29" spans="1:5">
      <c r="A29" s="31">
        <v>45766</v>
      </c>
      <c r="B29" s="28" t="s">
        <v>32</v>
      </c>
      <c r="C29" s="1">
        <v>400</v>
      </c>
      <c r="D29"/>
      <c r="E29" s="30">
        <f t="shared" si="0"/>
        <v>5463.12</v>
      </c>
    </row>
    <row r="30" spans="1:5">
      <c r="A30" s="31">
        <v>45767</v>
      </c>
      <c r="B30" s="2" t="s">
        <v>33</v>
      </c>
      <c r="C30"/>
      <c r="D30">
        <v>120</v>
      </c>
      <c r="E30" s="30">
        <f t="shared" si="0"/>
        <v>5343.12</v>
      </c>
    </row>
    <row r="31" spans="1:5">
      <c r="A31" s="31">
        <v>45769</v>
      </c>
      <c r="B31" s="28" t="s">
        <v>16</v>
      </c>
      <c r="C31" s="1" t="s">
        <v>10</v>
      </c>
      <c r="D31" s="1">
        <v>20</v>
      </c>
      <c r="E31" s="30">
        <f t="shared" si="0"/>
        <v>5323.12</v>
      </c>
    </row>
    <row r="32" spans="1:5">
      <c r="A32" s="31">
        <v>45773</v>
      </c>
      <c r="B32" s="2" t="s">
        <v>34</v>
      </c>
      <c r="C32"/>
      <c r="D32">
        <v>40</v>
      </c>
      <c r="E32" s="30">
        <f t="shared" si="0"/>
        <v>5283.12</v>
      </c>
    </row>
    <row r="33" spans="1:5">
      <c r="A33" s="31">
        <v>45773</v>
      </c>
      <c r="B33" s="28" t="s">
        <v>21</v>
      </c>
      <c r="C33" s="1">
        <v>1740.53</v>
      </c>
      <c r="D33"/>
      <c r="E33" s="30">
        <f t="shared" si="0"/>
        <v>7023.65</v>
      </c>
    </row>
    <row r="34" spans="1:5">
      <c r="A34" s="27">
        <v>45780</v>
      </c>
      <c r="B34" s="28" t="s">
        <v>12</v>
      </c>
      <c r="C34" s="1">
        <v>400</v>
      </c>
      <c r="D34" s="1" t="s">
        <v>10</v>
      </c>
      <c r="E34" s="30">
        <f>E33+C34-SUM(D34)</f>
        <v>7423.65</v>
      </c>
    </row>
    <row r="35" spans="1:5">
      <c r="A35" s="27">
        <v>45783</v>
      </c>
      <c r="B35" s="28" t="s">
        <v>14</v>
      </c>
      <c r="C35" s="1" t="s">
        <v>10</v>
      </c>
      <c r="D35" s="1">
        <v>40</v>
      </c>
      <c r="E35" s="30">
        <f>SUM(E34,C35)-D35</f>
        <v>7383.65</v>
      </c>
    </row>
    <row r="36" spans="1:5">
      <c r="A36" s="27">
        <v>45787</v>
      </c>
      <c r="B36" s="28" t="s">
        <v>16</v>
      </c>
      <c r="C36" s="1" t="s">
        <v>10</v>
      </c>
      <c r="D36" s="1">
        <v>20</v>
      </c>
      <c r="E36" s="30">
        <f>SUM(E35,C36)-D36</f>
        <v>7363.65</v>
      </c>
    </row>
    <row r="37" spans="1:5">
      <c r="A37" s="27">
        <v>45788</v>
      </c>
      <c r="B37" s="28" t="s">
        <v>18</v>
      </c>
      <c r="C37" s="1">
        <v>781.6</v>
      </c>
      <c r="D37" s="1" t="s">
        <v>10</v>
      </c>
      <c r="E37" s="30">
        <f>E36+C37-SUM(D37)</f>
        <v>8145.25</v>
      </c>
    </row>
    <row r="38" spans="1:5">
      <c r="A38" s="27">
        <v>45791</v>
      </c>
      <c r="B38" s="28" t="s">
        <v>20</v>
      </c>
      <c r="C38" s="1" t="s">
        <v>10</v>
      </c>
      <c r="D38" s="1">
        <v>100</v>
      </c>
      <c r="E38" s="30">
        <f>SUM(E37,C38)-D38</f>
        <v>8045.25</v>
      </c>
    </row>
    <row r="39" spans="1:5">
      <c r="A39" s="27">
        <v>45794</v>
      </c>
      <c r="B39" s="28" t="s">
        <v>21</v>
      </c>
      <c r="C39" s="1">
        <v>1740.53</v>
      </c>
      <c r="D39" s="1" t="s">
        <v>10</v>
      </c>
      <c r="E39" s="30">
        <f>E38+C39-SUM(D39)</f>
        <v>9785.7800000000007</v>
      </c>
    </row>
    <row r="40" spans="1:5">
      <c r="A40" s="27">
        <v>45801</v>
      </c>
      <c r="B40" s="28" t="s">
        <v>22</v>
      </c>
      <c r="C40" s="1" t="s">
        <v>10</v>
      </c>
      <c r="D40" s="1">
        <v>31</v>
      </c>
      <c r="E40" s="30">
        <f>SUM(E39,C40)-D40</f>
        <v>9754.7800000000007</v>
      </c>
    </row>
    <row r="41" spans="1:5">
      <c r="A41" s="27">
        <v>45806</v>
      </c>
      <c r="B41" s="28" t="s">
        <v>23</v>
      </c>
      <c r="C41" s="1" t="s">
        <v>10</v>
      </c>
      <c r="D41" s="1">
        <v>150</v>
      </c>
      <c r="E41" s="30">
        <f>SUM(E40,C41)-D41</f>
        <v>9604.7800000000007</v>
      </c>
    </row>
    <row r="49" spans="6:6">
      <c r="F49" s="5"/>
    </row>
    <row r="50" spans="6:6">
      <c r="F50" s="5"/>
    </row>
  </sheetData>
  <mergeCells count="8">
    <mergeCell ref="G8:H8"/>
    <mergeCell ref="G2:I2"/>
    <mergeCell ref="A1:E1"/>
    <mergeCell ref="G4:H4"/>
    <mergeCell ref="G5:H5"/>
    <mergeCell ref="G6:H6"/>
    <mergeCell ref="G7:H7"/>
    <mergeCell ref="G3:H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1126A-6809-48A9-86EC-E7AADE9F7B7E}">
  <dimension ref="A1:K39"/>
  <sheetViews>
    <sheetView workbookViewId="0">
      <selection activeCell="G8" sqref="G8"/>
    </sheetView>
  </sheetViews>
  <sheetFormatPr defaultRowHeight="15"/>
  <cols>
    <col min="2" max="2" width="16.140625" bestFit="1" customWidth="1"/>
    <col min="3" max="3" width="11.7109375" bestFit="1" customWidth="1"/>
    <col min="4" max="4" width="17.28515625" bestFit="1" customWidth="1"/>
    <col min="5" max="5" width="13.85546875" bestFit="1" customWidth="1"/>
    <col min="6" max="6" width="9.42578125" customWidth="1"/>
    <col min="7" max="7" width="24" bestFit="1" customWidth="1"/>
    <col min="8" max="8" width="16.140625" bestFit="1" customWidth="1"/>
    <col min="9" max="9" width="32.28515625" customWidth="1"/>
    <col min="10" max="10" width="22.140625" customWidth="1"/>
    <col min="11" max="11" width="36.5703125" bestFit="1" customWidth="1"/>
  </cols>
  <sheetData>
    <row r="1" spans="1:11" ht="18" customHeight="1">
      <c r="A1" s="42" t="s">
        <v>35</v>
      </c>
      <c r="B1" s="42" t="s">
        <v>36</v>
      </c>
      <c r="C1" s="43" t="s">
        <v>5</v>
      </c>
      <c r="D1" s="43" t="s">
        <v>6</v>
      </c>
      <c r="E1" s="43" t="s">
        <v>7</v>
      </c>
      <c r="F1" s="39"/>
      <c r="G1" s="41" t="s">
        <v>37</v>
      </c>
      <c r="I1" s="53" t="s">
        <v>38</v>
      </c>
    </row>
    <row r="2" spans="1:11" ht="18" customHeight="1">
      <c r="A2" s="44" t="s">
        <v>39</v>
      </c>
      <c r="B2" s="44" t="s">
        <v>40</v>
      </c>
      <c r="C2" s="45" t="s">
        <v>10</v>
      </c>
      <c r="D2" s="46"/>
      <c r="E2" s="47">
        <v>3033.14</v>
      </c>
      <c r="F2" s="32"/>
      <c r="G2" t="s">
        <v>41</v>
      </c>
      <c r="I2">
        <f>COUNTIF($B$2:$B$39,G8)</f>
        <v>4</v>
      </c>
    </row>
    <row r="3" spans="1:11" ht="18" customHeight="1">
      <c r="A3" s="48" t="s">
        <v>39</v>
      </c>
      <c r="B3" s="44" t="s">
        <v>42</v>
      </c>
      <c r="C3" s="45">
        <v>400</v>
      </c>
      <c r="D3" s="45" t="s">
        <v>10</v>
      </c>
      <c r="E3" s="47">
        <f>E2+C3-SUM(D3)</f>
        <v>3433.14</v>
      </c>
      <c r="F3" s="32"/>
      <c r="H3" s="22"/>
      <c r="J3" s="40"/>
      <c r="K3" s="32"/>
    </row>
    <row r="4" spans="1:11" ht="18" customHeight="1">
      <c r="A4" s="49" t="s">
        <v>39</v>
      </c>
      <c r="B4" s="50" t="s">
        <v>43</v>
      </c>
      <c r="C4" s="45" t="s">
        <v>10</v>
      </c>
      <c r="D4" s="45">
        <v>40</v>
      </c>
      <c r="E4" s="47">
        <f>SUM(E3,C4)-D4</f>
        <v>3393.14</v>
      </c>
      <c r="F4" s="32"/>
      <c r="H4" s="22"/>
      <c r="I4" s="41" t="s">
        <v>44</v>
      </c>
      <c r="K4" s="32"/>
    </row>
    <row r="5" spans="1:11" ht="18" customHeight="1">
      <c r="A5" s="49" t="s">
        <v>39</v>
      </c>
      <c r="B5" s="50" t="s">
        <v>45</v>
      </c>
      <c r="C5" s="45" t="s">
        <v>10</v>
      </c>
      <c r="D5" s="45">
        <v>20</v>
      </c>
      <c r="E5" s="47">
        <f>SUM(E4,C5)-D5</f>
        <v>3373.14</v>
      </c>
      <c r="F5" s="32"/>
      <c r="I5">
        <f>SUMIF(B2:B39,G8,E2:E39)</f>
        <v>20672.43</v>
      </c>
      <c r="K5" s="33" t="s">
        <v>46</v>
      </c>
    </row>
    <row r="6" spans="1:11" ht="18" customHeight="1">
      <c r="A6" s="49" t="s">
        <v>39</v>
      </c>
      <c r="B6" s="51" t="s">
        <v>47</v>
      </c>
      <c r="C6" s="45">
        <v>781.6</v>
      </c>
      <c r="D6" s="45" t="s">
        <v>10</v>
      </c>
      <c r="E6" s="47">
        <f>E5+C6-SUM(D6)</f>
        <v>4154.74</v>
      </c>
      <c r="F6" s="32"/>
      <c r="K6" s="33"/>
    </row>
    <row r="7" spans="1:11" ht="18" customHeight="1">
      <c r="A7" s="49" t="s">
        <v>39</v>
      </c>
      <c r="B7" s="50" t="s">
        <v>45</v>
      </c>
      <c r="C7" s="45" t="s">
        <v>10</v>
      </c>
      <c r="D7" s="45">
        <v>100</v>
      </c>
      <c r="E7" s="47">
        <f>SUM(E6,C7)-D7</f>
        <v>4054.74</v>
      </c>
      <c r="F7" s="32"/>
      <c r="G7" s="53" t="s">
        <v>48</v>
      </c>
      <c r="I7" s="41" t="s">
        <v>49</v>
      </c>
      <c r="K7" s="34"/>
    </row>
    <row r="8" spans="1:11" ht="18" customHeight="1">
      <c r="A8" s="49" t="s">
        <v>39</v>
      </c>
      <c r="B8" s="50" t="s">
        <v>50</v>
      </c>
      <c r="C8" s="45">
        <v>1740.53</v>
      </c>
      <c r="D8" s="45" t="s">
        <v>10</v>
      </c>
      <c r="E8" s="47">
        <f>E7+C8-SUM(D8)</f>
        <v>5795.2699999999995</v>
      </c>
      <c r="F8" s="32"/>
      <c r="G8" s="22" t="s">
        <v>42</v>
      </c>
      <c r="I8">
        <f>SUMIFS(E2:E39,B2:B39,G8,A2:A39,G2)</f>
        <v>7423.65</v>
      </c>
      <c r="K8" s="33"/>
    </row>
    <row r="9" spans="1:11" ht="18" customHeight="1">
      <c r="A9" s="49" t="s">
        <v>39</v>
      </c>
      <c r="B9" s="50" t="s">
        <v>51</v>
      </c>
      <c r="C9" s="45" t="s">
        <v>10</v>
      </c>
      <c r="D9" s="45">
        <v>31</v>
      </c>
      <c r="E9" s="47">
        <f>SUM(E8,C9)-D9</f>
        <v>5764.2699999999995</v>
      </c>
      <c r="F9" s="32"/>
      <c r="K9" s="33"/>
    </row>
    <row r="10" spans="1:11" ht="18" customHeight="1">
      <c r="A10" s="49" t="s">
        <v>39</v>
      </c>
      <c r="B10" s="50" t="s">
        <v>52</v>
      </c>
      <c r="C10" s="45" t="s">
        <v>10</v>
      </c>
      <c r="D10" s="45">
        <v>150</v>
      </c>
      <c r="E10" s="47">
        <f>SUM(E9,C10)-D10</f>
        <v>5614.2699999999995</v>
      </c>
      <c r="F10" s="32"/>
      <c r="J10" s="36"/>
      <c r="K10" s="37"/>
    </row>
    <row r="11" spans="1:11" ht="18" customHeight="1">
      <c r="A11" s="49" t="s">
        <v>53</v>
      </c>
      <c r="B11" s="50" t="s">
        <v>43</v>
      </c>
      <c r="C11" s="45" t="s">
        <v>10</v>
      </c>
      <c r="D11" s="45">
        <v>40</v>
      </c>
      <c r="E11" s="47">
        <f>SUM(E10,C11)-D11</f>
        <v>5574.2699999999995</v>
      </c>
      <c r="F11" s="32"/>
      <c r="J11" s="36"/>
      <c r="K11" s="38"/>
    </row>
    <row r="12" spans="1:11" ht="18" customHeight="1">
      <c r="A12" s="44" t="s">
        <v>53</v>
      </c>
      <c r="B12" s="50" t="s">
        <v>54</v>
      </c>
      <c r="C12" s="45">
        <v>134.12</v>
      </c>
      <c r="D12" s="45" t="s">
        <v>10</v>
      </c>
      <c r="E12" s="47">
        <f>E11+C12-SUM(D12)</f>
        <v>5708.3899999999994</v>
      </c>
      <c r="F12" s="32"/>
      <c r="K12" s="33"/>
    </row>
    <row r="13" spans="1:11" ht="18" customHeight="1">
      <c r="A13" s="49" t="s">
        <v>53</v>
      </c>
      <c r="B13" s="50" t="s">
        <v>55</v>
      </c>
      <c r="C13" s="45" t="s">
        <v>10</v>
      </c>
      <c r="D13" s="45">
        <v>2400</v>
      </c>
      <c r="E13" s="47">
        <f>SUM(E12,C13)-D13</f>
        <v>3308.3899999999994</v>
      </c>
      <c r="F13" s="32"/>
      <c r="K13" s="33"/>
    </row>
    <row r="14" spans="1:11" ht="18" customHeight="1">
      <c r="A14" s="49" t="s">
        <v>53</v>
      </c>
      <c r="B14" s="50" t="s">
        <v>54</v>
      </c>
      <c r="C14" s="45" t="s">
        <v>10</v>
      </c>
      <c r="D14" s="45">
        <v>75.95</v>
      </c>
      <c r="E14" s="47">
        <f>SUM(E13,C14)-D14</f>
        <v>3232.4399999999996</v>
      </c>
      <c r="F14" s="32"/>
      <c r="K14" s="34"/>
    </row>
    <row r="15" spans="1:11" ht="18" customHeight="1">
      <c r="A15" s="49" t="s">
        <v>53</v>
      </c>
      <c r="B15" s="50" t="s">
        <v>45</v>
      </c>
      <c r="C15" s="45" t="s">
        <v>10</v>
      </c>
      <c r="D15" s="45">
        <v>50</v>
      </c>
      <c r="E15" s="47">
        <f>SUM(E14,C15)-D15</f>
        <v>3182.4399999999996</v>
      </c>
      <c r="F15" s="32"/>
      <c r="K15" s="33"/>
    </row>
    <row r="16" spans="1:11" ht="18" customHeight="1">
      <c r="A16" s="49" t="s">
        <v>53</v>
      </c>
      <c r="B16" s="50" t="s">
        <v>54</v>
      </c>
      <c r="C16" s="45" t="s">
        <v>10</v>
      </c>
      <c r="D16" s="45">
        <v>71.08</v>
      </c>
      <c r="E16" s="47">
        <f>SUM(E15,C16)-D16</f>
        <v>3111.3599999999997</v>
      </c>
      <c r="F16" s="32"/>
      <c r="K16" s="32"/>
    </row>
    <row r="17" spans="1:11" ht="18" customHeight="1">
      <c r="A17" s="49" t="s">
        <v>53</v>
      </c>
      <c r="B17" s="50" t="s">
        <v>55</v>
      </c>
      <c r="C17" s="45">
        <v>650</v>
      </c>
      <c r="D17" s="45" t="s">
        <v>10</v>
      </c>
      <c r="E17" s="47">
        <f>E16+C17-SUM(D17)</f>
        <v>3761.3599999999997</v>
      </c>
      <c r="F17" s="32"/>
      <c r="K17" s="35"/>
    </row>
    <row r="18" spans="1:11" ht="18" customHeight="1">
      <c r="A18" s="49" t="s">
        <v>53</v>
      </c>
      <c r="B18" s="50" t="s">
        <v>54</v>
      </c>
      <c r="C18" s="45" t="s">
        <v>10</v>
      </c>
      <c r="D18" s="45">
        <v>161.44</v>
      </c>
      <c r="E18" s="47">
        <f>SUM(E17,C18)-D18</f>
        <v>3599.9199999999996</v>
      </c>
      <c r="F18" s="32"/>
      <c r="J18" t="s">
        <v>46</v>
      </c>
    </row>
    <row r="19" spans="1:11" ht="18" customHeight="1">
      <c r="A19" s="49" t="s">
        <v>56</v>
      </c>
      <c r="B19" s="50" t="s">
        <v>43</v>
      </c>
      <c r="C19" s="45" t="s">
        <v>10</v>
      </c>
      <c r="D19" s="45">
        <v>40</v>
      </c>
      <c r="E19" s="47">
        <f>SUM(E18,C19)-D19</f>
        <v>3559.9199999999996</v>
      </c>
      <c r="F19" s="32"/>
    </row>
    <row r="20" spans="1:11" ht="18" customHeight="1">
      <c r="A20" s="44" t="s">
        <v>56</v>
      </c>
      <c r="B20" s="50" t="s">
        <v>57</v>
      </c>
      <c r="C20" s="45" t="s">
        <v>10</v>
      </c>
      <c r="D20" s="45">
        <v>359</v>
      </c>
      <c r="E20" s="47">
        <f>SUM(E19,C20)-D20</f>
        <v>3200.9199999999996</v>
      </c>
      <c r="F20" s="32"/>
    </row>
    <row r="21" spans="1:11" ht="18" customHeight="1">
      <c r="A21" s="49" t="s">
        <v>56</v>
      </c>
      <c r="B21" s="51" t="s">
        <v>47</v>
      </c>
      <c r="C21" s="45">
        <v>781.6</v>
      </c>
      <c r="D21" s="45" t="s">
        <v>10</v>
      </c>
      <c r="E21" s="47">
        <f>E20+C21-SUM(D21)</f>
        <v>3982.5199999999995</v>
      </c>
      <c r="F21" s="32"/>
    </row>
    <row r="22" spans="1:11" ht="18" customHeight="1">
      <c r="A22" s="49" t="s">
        <v>56</v>
      </c>
      <c r="B22" s="50" t="s">
        <v>58</v>
      </c>
      <c r="C22" s="46"/>
      <c r="D22" s="46">
        <v>30</v>
      </c>
      <c r="E22" s="47">
        <f>E21+C22-SUM(D22)</f>
        <v>3952.5199999999995</v>
      </c>
      <c r="F22" s="32"/>
    </row>
    <row r="23" spans="1:11" ht="18" customHeight="1">
      <c r="A23" s="49" t="s">
        <v>59</v>
      </c>
      <c r="B23" s="44" t="s">
        <v>42</v>
      </c>
      <c r="C23" s="52">
        <v>400</v>
      </c>
      <c r="D23" s="46"/>
      <c r="E23" s="47">
        <f>E22+C23-SUM(D23)</f>
        <v>4352.5199999999995</v>
      </c>
      <c r="F23" s="32"/>
    </row>
    <row r="24" spans="1:11" ht="18" customHeight="1">
      <c r="A24" s="44" t="s">
        <v>59</v>
      </c>
      <c r="B24" s="50" t="s">
        <v>43</v>
      </c>
      <c r="C24" s="52" t="s">
        <v>10</v>
      </c>
      <c r="D24" s="52">
        <v>40</v>
      </c>
      <c r="E24" s="47">
        <f t="shared" ref="E24:E31" si="0">SUM(E23,C24)-(D24)</f>
        <v>4312.5199999999995</v>
      </c>
      <c r="F24" s="32"/>
    </row>
    <row r="25" spans="1:11" ht="18" customHeight="1">
      <c r="A25" s="49" t="s">
        <v>59</v>
      </c>
      <c r="B25" s="50" t="s">
        <v>51</v>
      </c>
      <c r="C25" s="52" t="s">
        <v>10</v>
      </c>
      <c r="D25" s="52">
        <v>31</v>
      </c>
      <c r="E25" s="47">
        <f t="shared" si="0"/>
        <v>4281.5199999999995</v>
      </c>
      <c r="F25" s="32"/>
    </row>
    <row r="26" spans="1:11" ht="18" customHeight="1">
      <c r="A26" s="49" t="s">
        <v>59</v>
      </c>
      <c r="B26" s="51" t="s">
        <v>47</v>
      </c>
      <c r="C26" s="52">
        <v>781.6</v>
      </c>
      <c r="D26" s="46"/>
      <c r="E26" s="47">
        <f t="shared" si="0"/>
        <v>5063.12</v>
      </c>
      <c r="F26" s="32"/>
    </row>
    <row r="27" spans="1:11" ht="18" customHeight="1">
      <c r="A27" s="49" t="s">
        <v>59</v>
      </c>
      <c r="B27" s="44" t="s">
        <v>42</v>
      </c>
      <c r="C27" s="52">
        <v>400</v>
      </c>
      <c r="D27" s="46"/>
      <c r="E27" s="47">
        <f t="shared" si="0"/>
        <v>5463.12</v>
      </c>
      <c r="F27" s="32"/>
    </row>
    <row r="28" spans="1:11" ht="18" customHeight="1">
      <c r="A28" s="49" t="s">
        <v>59</v>
      </c>
      <c r="B28" s="50" t="s">
        <v>58</v>
      </c>
      <c r="C28" s="46"/>
      <c r="D28" s="46">
        <v>120</v>
      </c>
      <c r="E28" s="47">
        <f t="shared" si="0"/>
        <v>5343.12</v>
      </c>
      <c r="F28" s="32"/>
    </row>
    <row r="29" spans="1:11" ht="18" customHeight="1">
      <c r="A29" s="49" t="s">
        <v>59</v>
      </c>
      <c r="B29" s="50" t="s">
        <v>45</v>
      </c>
      <c r="C29" s="52" t="s">
        <v>10</v>
      </c>
      <c r="D29" s="52">
        <v>20</v>
      </c>
      <c r="E29" s="47">
        <f t="shared" si="0"/>
        <v>5323.12</v>
      </c>
      <c r="F29" s="32"/>
    </row>
    <row r="30" spans="1:11" ht="18" customHeight="1">
      <c r="A30" s="49" t="s">
        <v>59</v>
      </c>
      <c r="B30" s="50" t="s">
        <v>58</v>
      </c>
      <c r="C30" s="46"/>
      <c r="D30" s="46">
        <v>40</v>
      </c>
      <c r="E30" s="47">
        <f t="shared" si="0"/>
        <v>5283.12</v>
      </c>
      <c r="F30" s="32"/>
    </row>
    <row r="31" spans="1:11" ht="18" customHeight="1">
      <c r="A31" s="49" t="s">
        <v>59</v>
      </c>
      <c r="B31" s="50" t="s">
        <v>50</v>
      </c>
      <c r="C31" s="52">
        <v>1740.53</v>
      </c>
      <c r="D31" s="46"/>
      <c r="E31" s="47">
        <f t="shared" si="0"/>
        <v>7023.65</v>
      </c>
      <c r="F31" s="32"/>
    </row>
    <row r="32" spans="1:11" ht="18" customHeight="1">
      <c r="A32" s="49" t="s">
        <v>41</v>
      </c>
      <c r="B32" s="44" t="s">
        <v>42</v>
      </c>
      <c r="C32" s="52">
        <v>400</v>
      </c>
      <c r="D32" s="52" t="s">
        <v>10</v>
      </c>
      <c r="E32" s="47">
        <f>E31+C32-SUM(D32)</f>
        <v>7423.65</v>
      </c>
      <c r="F32" s="32"/>
    </row>
    <row r="33" spans="1:6" ht="18" customHeight="1">
      <c r="A33" s="44" t="s">
        <v>41</v>
      </c>
      <c r="B33" s="50" t="s">
        <v>43</v>
      </c>
      <c r="C33" s="52" t="s">
        <v>10</v>
      </c>
      <c r="D33" s="52">
        <v>40</v>
      </c>
      <c r="E33" s="47">
        <f>SUM(E32,C33)-D33</f>
        <v>7383.65</v>
      </c>
      <c r="F33" s="32"/>
    </row>
    <row r="34" spans="1:6" ht="18" customHeight="1">
      <c r="A34" s="49" t="s">
        <v>41</v>
      </c>
      <c r="B34" s="50" t="s">
        <v>45</v>
      </c>
      <c r="C34" s="52" t="s">
        <v>10</v>
      </c>
      <c r="D34" s="52">
        <v>20</v>
      </c>
      <c r="E34" s="47">
        <f>SUM(E33,C34)-D34</f>
        <v>7363.65</v>
      </c>
      <c r="F34" s="32"/>
    </row>
    <row r="35" spans="1:6" ht="18" customHeight="1">
      <c r="A35" s="49" t="s">
        <v>41</v>
      </c>
      <c r="B35" s="51" t="s">
        <v>47</v>
      </c>
      <c r="C35" s="52">
        <v>781.6</v>
      </c>
      <c r="D35" s="52" t="s">
        <v>10</v>
      </c>
      <c r="E35" s="47">
        <f>E34+C35-SUM(D35)</f>
        <v>8145.25</v>
      </c>
      <c r="F35" s="32"/>
    </row>
    <row r="36" spans="1:6" ht="18" customHeight="1">
      <c r="A36" s="49" t="s">
        <v>41</v>
      </c>
      <c r="B36" s="50" t="s">
        <v>45</v>
      </c>
      <c r="C36" s="52" t="s">
        <v>10</v>
      </c>
      <c r="D36" s="52">
        <v>100</v>
      </c>
      <c r="E36" s="47">
        <f>SUM(E35,C36)-D36</f>
        <v>8045.25</v>
      </c>
      <c r="F36" s="32"/>
    </row>
    <row r="37" spans="1:6" ht="18" customHeight="1">
      <c r="A37" s="49" t="s">
        <v>41</v>
      </c>
      <c r="B37" s="50" t="s">
        <v>50</v>
      </c>
      <c r="C37" s="52">
        <v>1740.53</v>
      </c>
      <c r="D37" s="52" t="s">
        <v>10</v>
      </c>
      <c r="E37" s="47">
        <f>E36+C37-SUM(D37)</f>
        <v>9785.7800000000007</v>
      </c>
      <c r="F37" s="32"/>
    </row>
    <row r="38" spans="1:6" ht="18" customHeight="1">
      <c r="A38" s="49" t="s">
        <v>41</v>
      </c>
      <c r="B38" s="50" t="s">
        <v>51</v>
      </c>
      <c r="C38" s="52" t="s">
        <v>10</v>
      </c>
      <c r="D38" s="52">
        <v>31</v>
      </c>
      <c r="E38" s="47">
        <f>SUM(E37,C38)-D38</f>
        <v>9754.7800000000007</v>
      </c>
      <c r="F38" s="32"/>
    </row>
    <row r="39" spans="1:6" ht="18" customHeight="1">
      <c r="A39" s="49" t="s">
        <v>41</v>
      </c>
      <c r="B39" s="50" t="s">
        <v>52</v>
      </c>
      <c r="C39" s="52" t="s">
        <v>10</v>
      </c>
      <c r="D39" s="52">
        <v>150</v>
      </c>
      <c r="E39" s="47">
        <f>SUM(E38,C39)-D39</f>
        <v>9604.7800000000007</v>
      </c>
      <c r="F39" s="32"/>
    </row>
  </sheetData>
  <conditionalFormatting sqref="A2:E39">
    <cfRule type="expression" dxfId="6" priority="1">
      <formula>$B2=$G$8</formula>
    </cfRule>
  </conditionalFormatting>
  <dataValidations count="3">
    <dataValidation allowBlank="1" showInputMessage="1" showErrorMessage="1" sqref="H10 J10 I9:I10" xr:uid="{A3BC86C5-2190-4BA0-A36D-FD80732A8D11}"/>
    <dataValidation type="list" allowBlank="1" showInputMessage="1" showErrorMessage="1" sqref="G8" xr:uid="{129F164A-12FA-4794-9A78-9C9AF0FD38F7}">
      <formula1>"previous due, Gift,Installment,Mobile Expense, Salary, Groceries, Entertainment,Appliance, Rent, Utilities, Council Tax, Salary, Shopping"</formula1>
    </dataValidation>
    <dataValidation type="list" allowBlank="1" showInputMessage="1" showErrorMessage="1" sqref="G2" xr:uid="{9E92FED0-3B35-47D8-852E-CEFD1E19D586}">
      <formula1>"Jan,Feb,Mar,Apr,May"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6B372-DF95-44F1-9861-B66E3988BB24}">
  <dimension ref="A1:F18"/>
  <sheetViews>
    <sheetView workbookViewId="0">
      <selection activeCell="F12" sqref="F12"/>
    </sheetView>
  </sheetViews>
  <sheetFormatPr defaultRowHeight="15"/>
  <cols>
    <col min="1" max="1" width="30.5703125" bestFit="1" customWidth="1"/>
    <col min="2" max="2" width="16.140625" bestFit="1" customWidth="1"/>
    <col min="5" max="5" width="29" bestFit="1" customWidth="1"/>
    <col min="6" max="6" width="29.42578125" bestFit="1" customWidth="1"/>
  </cols>
  <sheetData>
    <row r="1" spans="1:6" ht="21">
      <c r="A1" s="23" t="s">
        <v>60</v>
      </c>
      <c r="B1" s="24" t="s">
        <v>36</v>
      </c>
      <c r="E1" s="58" t="s">
        <v>61</v>
      </c>
      <c r="F1" s="58"/>
    </row>
    <row r="2" spans="1:6">
      <c r="A2" s="6" t="s">
        <v>62</v>
      </c>
      <c r="B2" s="9" t="s">
        <v>42</v>
      </c>
      <c r="E2" s="1" t="s">
        <v>63</v>
      </c>
      <c r="F2" t="str">
        <f>VLOOKUP(E2,Table1[#All],2,FALSE)</f>
        <v>Utilities</v>
      </c>
    </row>
    <row r="3" spans="1:6">
      <c r="A3" s="7" t="s">
        <v>14</v>
      </c>
      <c r="B3" s="10" t="s">
        <v>43</v>
      </c>
      <c r="E3" s="1" t="s">
        <v>64</v>
      </c>
      <c r="F3" t="str">
        <f>VLOOKUP(E3,Table1[#All],2,FALSE)</f>
        <v>Rent</v>
      </c>
    </row>
    <row r="4" spans="1:6">
      <c r="A4" s="6" t="s">
        <v>65</v>
      </c>
      <c r="B4" s="10" t="s">
        <v>45</v>
      </c>
      <c r="E4" s="1" t="s">
        <v>66</v>
      </c>
      <c r="F4" t="str">
        <f>VLOOKUP(E4,Table1[#All],2,FALSE)</f>
        <v>Salary</v>
      </c>
    </row>
    <row r="5" spans="1:6">
      <c r="A5" s="8" t="s">
        <v>66</v>
      </c>
      <c r="B5" s="13" t="s">
        <v>47</v>
      </c>
    </row>
    <row r="6" spans="1:6" ht="21">
      <c r="A6" s="8" t="s">
        <v>67</v>
      </c>
      <c r="B6" s="10" t="s">
        <v>45</v>
      </c>
      <c r="E6" s="58" t="s">
        <v>68</v>
      </c>
      <c r="F6" s="58"/>
    </row>
    <row r="7" spans="1:6">
      <c r="A7" s="8" t="s">
        <v>69</v>
      </c>
      <c r="B7" s="10" t="s">
        <v>50</v>
      </c>
      <c r="E7" s="22" t="s">
        <v>50</v>
      </c>
      <c r="F7" t="str">
        <f>_xlfn.XLOOKUP(E7,Table1[Category],Table1[Description Keywords])</f>
        <v>GOVINDA STORES LTD</v>
      </c>
    </row>
    <row r="8" spans="1:6">
      <c r="A8" s="8" t="s">
        <v>70</v>
      </c>
      <c r="B8" s="10" t="s">
        <v>51</v>
      </c>
      <c r="E8" s="22"/>
    </row>
    <row r="9" spans="1:6">
      <c r="A9" s="8" t="s">
        <v>71</v>
      </c>
      <c r="B9" s="10" t="s">
        <v>52</v>
      </c>
      <c r="E9" s="22"/>
    </row>
    <row r="10" spans="1:6">
      <c r="A10" s="8" t="s">
        <v>63</v>
      </c>
      <c r="B10" s="10" t="s">
        <v>54</v>
      </c>
    </row>
    <row r="11" spans="1:6">
      <c r="A11" s="8" t="s">
        <v>64</v>
      </c>
      <c r="B11" s="10" t="s">
        <v>55</v>
      </c>
    </row>
    <row r="12" spans="1:6">
      <c r="A12" s="8" t="s">
        <v>72</v>
      </c>
      <c r="B12" s="10" t="s">
        <v>54</v>
      </c>
    </row>
    <row r="13" spans="1:6">
      <c r="A13" s="8" t="s">
        <v>73</v>
      </c>
      <c r="B13" s="10" t="s">
        <v>55</v>
      </c>
    </row>
    <row r="14" spans="1:6">
      <c r="A14" s="8" t="s">
        <v>74</v>
      </c>
      <c r="B14" s="10" t="s">
        <v>54</v>
      </c>
    </row>
    <row r="15" spans="1:6">
      <c r="A15" s="8" t="s">
        <v>75</v>
      </c>
      <c r="B15" s="10" t="s">
        <v>57</v>
      </c>
    </row>
    <row r="16" spans="1:6">
      <c r="A16" s="8" t="s">
        <v>31</v>
      </c>
      <c r="B16" s="10" t="s">
        <v>58</v>
      </c>
    </row>
    <row r="17" spans="1:2">
      <c r="A17" s="11" t="s">
        <v>33</v>
      </c>
      <c r="B17" s="12" t="s">
        <v>58</v>
      </c>
    </row>
    <row r="18" spans="1:2">
      <c r="A18" s="11" t="s">
        <v>76</v>
      </c>
      <c r="B18" s="14" t="s">
        <v>42</v>
      </c>
    </row>
  </sheetData>
  <mergeCells count="2">
    <mergeCell ref="E1:F1"/>
    <mergeCell ref="E6:F6"/>
  </mergeCells>
  <dataValidations count="1">
    <dataValidation type="list" allowBlank="1" showInputMessage="1" showErrorMessage="1" sqref="E7" xr:uid="{2C12A782-9EA6-4895-B92E-C5E96DCBF548}">
      <formula1>"previous due, Gift,Installment,Mobile Expense, Salary, Groceries, Entertainment,Appliance, Rent, Utilities, Council Tax, Salary, Shopping"</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6720-08E5-49B4-B099-D830C6A68D5D}">
  <dimension ref="A1:I29"/>
  <sheetViews>
    <sheetView workbookViewId="0">
      <selection activeCell="I17" sqref="I17"/>
    </sheetView>
  </sheetViews>
  <sheetFormatPr defaultRowHeight="15"/>
  <cols>
    <col min="1" max="1" width="14.140625" bestFit="1" customWidth="1"/>
    <col min="2" max="2" width="16.7109375" bestFit="1" customWidth="1"/>
    <col min="3" max="4" width="11.140625" bestFit="1" customWidth="1"/>
    <col min="5" max="6" width="17.42578125" bestFit="1" customWidth="1"/>
    <col min="7" max="7" width="11.140625" bestFit="1" customWidth="1"/>
    <col min="8" max="8" width="16.7109375" bestFit="1" customWidth="1"/>
    <col min="9" max="9" width="22.140625" bestFit="1" customWidth="1"/>
  </cols>
  <sheetData>
    <row r="1" spans="1:9">
      <c r="A1" s="15" t="s">
        <v>36</v>
      </c>
      <c r="B1" t="s">
        <v>77</v>
      </c>
      <c r="D1" s="15" t="s">
        <v>35</v>
      </c>
      <c r="E1" t="s">
        <v>78</v>
      </c>
      <c r="G1" s="15" t="s">
        <v>35</v>
      </c>
      <c r="H1" t="s">
        <v>79</v>
      </c>
      <c r="I1" t="s">
        <v>77</v>
      </c>
    </row>
    <row r="2" spans="1:9">
      <c r="A2" t="s">
        <v>52</v>
      </c>
      <c r="B2">
        <v>2</v>
      </c>
      <c r="D2" t="s">
        <v>39</v>
      </c>
      <c r="E2" s="21">
        <v>38615.85</v>
      </c>
      <c r="G2" t="s">
        <v>39</v>
      </c>
      <c r="H2">
        <v>9</v>
      </c>
      <c r="I2">
        <v>8</v>
      </c>
    </row>
    <row r="3" spans="1:9">
      <c r="A3" t="s">
        <v>57</v>
      </c>
      <c r="B3">
        <v>1</v>
      </c>
      <c r="D3" t="s">
        <v>53</v>
      </c>
      <c r="E3" s="21">
        <v>31478.569999999996</v>
      </c>
      <c r="G3" t="s">
        <v>53</v>
      </c>
      <c r="H3">
        <v>8</v>
      </c>
      <c r="I3">
        <v>8</v>
      </c>
    </row>
    <row r="4" spans="1:9">
      <c r="A4" t="s">
        <v>51</v>
      </c>
      <c r="B4">
        <v>3</v>
      </c>
      <c r="D4" t="s">
        <v>56</v>
      </c>
      <c r="E4" s="21">
        <v>14695.879999999997</v>
      </c>
      <c r="G4" t="s">
        <v>56</v>
      </c>
      <c r="H4">
        <v>3</v>
      </c>
      <c r="I4">
        <v>4</v>
      </c>
    </row>
    <row r="5" spans="1:9">
      <c r="A5" t="s">
        <v>42</v>
      </c>
      <c r="B5">
        <v>2</v>
      </c>
      <c r="D5" t="s">
        <v>59</v>
      </c>
      <c r="E5" s="21">
        <v>46445.81</v>
      </c>
      <c r="G5" t="s">
        <v>59</v>
      </c>
      <c r="H5">
        <v>7</v>
      </c>
      <c r="I5">
        <v>5</v>
      </c>
    </row>
    <row r="6" spans="1:9">
      <c r="A6" t="s">
        <v>50</v>
      </c>
      <c r="B6">
        <v>2</v>
      </c>
      <c r="D6" t="s">
        <v>41</v>
      </c>
      <c r="E6" s="21">
        <v>67506.789999999994</v>
      </c>
      <c r="G6" t="s">
        <v>41</v>
      </c>
      <c r="H6">
        <v>8</v>
      </c>
      <c r="I6">
        <v>8</v>
      </c>
    </row>
    <row r="7" spans="1:9">
      <c r="A7" t="s">
        <v>43</v>
      </c>
      <c r="B7">
        <v>5</v>
      </c>
      <c r="D7" t="s">
        <v>80</v>
      </c>
      <c r="E7" s="21">
        <v>198742.89999999997</v>
      </c>
      <c r="G7" t="s">
        <v>80</v>
      </c>
      <c r="H7">
        <v>35</v>
      </c>
      <c r="I7">
        <v>33</v>
      </c>
    </row>
    <row r="8" spans="1:9">
      <c r="A8" t="s">
        <v>45</v>
      </c>
      <c r="B8">
        <v>6</v>
      </c>
    </row>
    <row r="9" spans="1:9">
      <c r="A9" t="s">
        <v>40</v>
      </c>
    </row>
    <row r="10" spans="1:9">
      <c r="A10" t="s">
        <v>55</v>
      </c>
      <c r="B10">
        <v>2</v>
      </c>
    </row>
    <row r="11" spans="1:9">
      <c r="A11" t="s">
        <v>47</v>
      </c>
      <c r="B11">
        <v>3</v>
      </c>
    </row>
    <row r="12" spans="1:9">
      <c r="A12" t="s">
        <v>58</v>
      </c>
      <c r="B12">
        <v>3</v>
      </c>
    </row>
    <row r="13" spans="1:9">
      <c r="A13" t="s">
        <v>54</v>
      </c>
      <c r="B13">
        <v>4</v>
      </c>
    </row>
    <row r="14" spans="1:9">
      <c r="A14" t="s">
        <v>80</v>
      </c>
      <c r="B14">
        <v>33</v>
      </c>
    </row>
    <row r="16" spans="1:9">
      <c r="A16" s="15" t="s">
        <v>36</v>
      </c>
      <c r="B16" t="s">
        <v>79</v>
      </c>
    </row>
    <row r="17" spans="1:2">
      <c r="A17" t="s">
        <v>52</v>
      </c>
      <c r="B17">
        <v>2</v>
      </c>
    </row>
    <row r="18" spans="1:2">
      <c r="A18" t="s">
        <v>57</v>
      </c>
      <c r="B18">
        <v>1</v>
      </c>
    </row>
    <row r="19" spans="1:2">
      <c r="A19" t="s">
        <v>51</v>
      </c>
      <c r="B19">
        <v>3</v>
      </c>
    </row>
    <row r="20" spans="1:2">
      <c r="A20" t="s">
        <v>42</v>
      </c>
      <c r="B20">
        <v>4</v>
      </c>
    </row>
    <row r="21" spans="1:2">
      <c r="A21" t="s">
        <v>50</v>
      </c>
      <c r="B21">
        <v>3</v>
      </c>
    </row>
    <row r="22" spans="1:2">
      <c r="A22" t="s">
        <v>43</v>
      </c>
      <c r="B22">
        <v>5</v>
      </c>
    </row>
    <row r="23" spans="1:2">
      <c r="A23" t="s">
        <v>45</v>
      </c>
      <c r="B23">
        <v>6</v>
      </c>
    </row>
    <row r="24" spans="1:2">
      <c r="A24" t="s">
        <v>40</v>
      </c>
      <c r="B24">
        <v>1</v>
      </c>
    </row>
    <row r="25" spans="1:2">
      <c r="A25" t="s">
        <v>55</v>
      </c>
      <c r="B25">
        <v>2</v>
      </c>
    </row>
    <row r="26" spans="1:2">
      <c r="A26" t="s">
        <v>47</v>
      </c>
      <c r="B26">
        <v>4</v>
      </c>
    </row>
    <row r="27" spans="1:2">
      <c r="A27" t="s">
        <v>58</v>
      </c>
    </row>
    <row r="28" spans="1:2">
      <c r="A28" t="s">
        <v>54</v>
      </c>
      <c r="B28">
        <v>4</v>
      </c>
    </row>
    <row r="29" spans="1:2">
      <c r="A29" t="s">
        <v>80</v>
      </c>
      <c r="B29">
        <v>35</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priyavishnu030@gmail.com</dc:creator>
  <cp:keywords/>
  <dc:description/>
  <cp:lastModifiedBy/>
  <cp:revision/>
  <dcterms:created xsi:type="dcterms:W3CDTF">2025-08-04T10:06:26Z</dcterms:created>
  <dcterms:modified xsi:type="dcterms:W3CDTF">2025-11-17T10:19:37Z</dcterms:modified>
  <cp:category/>
  <cp:contentStatus/>
</cp:coreProperties>
</file>